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ff2f09a79af50fa7/Desktop/Abhishek's Docs/D.A/Projects/Excel Dashboard Project - 2/"/>
    </mc:Choice>
  </mc:AlternateContent>
  <xr:revisionPtr revIDLastSave="1746" documentId="13_ncr:1_{94CA2B3B-376A-4374-AEDA-7C317BCE40D4}" xr6:coauthVersionLast="47" xr6:coauthVersionMax="47" xr10:uidLastSave="{B94C7F7C-254F-46BC-AC5D-9716371B7B68}"/>
  <bookViews>
    <workbookView xWindow="-108" yWindow="-108" windowWidth="23256" windowHeight="12456" activeTab="2" xr2:uid="{346724B3-1C49-40AE-AA36-C77CF5D6DD09}"/>
  </bookViews>
  <sheets>
    <sheet name="Pivots" sheetId="5" r:id="rId1"/>
    <sheet name="Dashboard.1" sheetId="6" r:id="rId2"/>
    <sheet name="Sheet1" sheetId="7" r:id="rId3"/>
    <sheet name="Sheet2" sheetId="9" r:id="rId4"/>
    <sheet name="Maps" sheetId="11" r:id="rId5"/>
    <sheet name="Data" sheetId="1" r:id="rId6"/>
    <sheet name="Logo &amp; Colors" sheetId="4" r:id="rId7"/>
    <sheet name="Questions &amp; KPIs" sheetId="2" r:id="rId8"/>
    <sheet name="Dashboard" sheetId="3" r:id="rId9"/>
  </sheets>
  <definedNames>
    <definedName name="_xlchart.v5.0" hidden="1">Maps!$G$3:$H$3</definedName>
    <definedName name="_xlchart.v5.1" hidden="1">Maps!$G$4:$H$61</definedName>
    <definedName name="_xlchart.v5.2" hidden="1">Maps!$I$3</definedName>
    <definedName name="_xlchart.v5.3" hidden="1">Maps!$I$4:$I$61</definedName>
    <definedName name="_xlchart.v5.4" hidden="1">Maps!$M$3:$N$3</definedName>
    <definedName name="_xlchart.v5.5" hidden="1">Maps!$M$4:$N$61</definedName>
    <definedName name="_xlchart.v5.6" hidden="1">Maps!$O$3</definedName>
    <definedName name="_xlchart.v5.7" hidden="1">Maps!$O$4:$O$61</definedName>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7" l="1"/>
  <c r="K4" i="7"/>
  <c r="L4" i="7"/>
  <c r="I4" i="7"/>
  <c r="I5" i="7"/>
  <c r="J5" i="7"/>
  <c r="K5" i="7"/>
  <c r="L5" i="7"/>
  <c r="I6" i="7"/>
  <c r="J6" i="7"/>
  <c r="K6" i="7"/>
  <c r="L6" i="7"/>
  <c r="I7" i="7"/>
  <c r="J7" i="7"/>
  <c r="K7" i="7"/>
  <c r="L7" i="7"/>
  <c r="I8" i="7"/>
  <c r="J8" i="7"/>
  <c r="K8" i="7"/>
  <c r="L8" i="7"/>
  <c r="I9" i="7"/>
  <c r="J9" i="7"/>
  <c r="K9" i="7"/>
  <c r="L9" i="7"/>
  <c r="H6" i="7"/>
  <c r="H7" i="7"/>
  <c r="H8" i="7"/>
  <c r="H9" i="7"/>
  <c r="H5" i="7"/>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 r="O19" i="11"/>
  <c r="I10" i="11"/>
  <c r="I60" i="11"/>
  <c r="O11" i="11"/>
  <c r="I29" i="11"/>
  <c r="I13" i="11"/>
  <c r="I40" i="11"/>
  <c r="I57" i="11"/>
  <c r="O17" i="11"/>
  <c r="O41" i="11"/>
  <c r="I12" i="11"/>
  <c r="O12" i="11"/>
  <c r="I24" i="11"/>
  <c r="O15" i="11"/>
  <c r="O36" i="11"/>
  <c r="I52" i="11"/>
  <c r="I46" i="11"/>
  <c r="I35" i="11"/>
  <c r="I37" i="11"/>
  <c r="I14" i="11"/>
  <c r="O30" i="11"/>
  <c r="I6" i="11"/>
  <c r="O7" i="11"/>
  <c r="I19" i="11"/>
  <c r="I11" i="11"/>
  <c r="I39" i="11"/>
  <c r="I45" i="11"/>
  <c r="O42" i="11"/>
  <c r="O24" i="11"/>
  <c r="O38" i="11"/>
  <c r="O35" i="11"/>
  <c r="I42" i="11"/>
  <c r="I32" i="11"/>
  <c r="O47" i="11"/>
  <c r="I49" i="11"/>
  <c r="I55" i="11"/>
  <c r="I53" i="11"/>
  <c r="I16" i="11"/>
  <c r="O6" i="11"/>
  <c r="O23" i="11"/>
  <c r="O33" i="11"/>
  <c r="O61" i="11"/>
  <c r="O45" i="11"/>
  <c r="O28" i="11"/>
  <c r="I5" i="11"/>
  <c r="I50" i="11"/>
  <c r="I38" i="11"/>
  <c r="I58" i="11"/>
  <c r="O4" i="11"/>
  <c r="O58" i="11"/>
  <c r="O44" i="11"/>
  <c r="I26" i="11"/>
  <c r="O51" i="11"/>
  <c r="I47" i="11"/>
  <c r="I23" i="11"/>
  <c r="I8" i="11"/>
  <c r="O37" i="11"/>
  <c r="I22" i="11"/>
  <c r="I17" i="11"/>
  <c r="O54" i="11"/>
  <c r="O59" i="11"/>
  <c r="O53" i="11"/>
  <c r="I15" i="11"/>
  <c r="I56" i="11"/>
  <c r="I33" i="11"/>
  <c r="I59" i="11"/>
  <c r="O52" i="11"/>
  <c r="I9" i="11"/>
  <c r="O40" i="11"/>
  <c r="I27" i="11"/>
  <c r="I31" i="11"/>
  <c r="I43" i="11"/>
  <c r="I51" i="11"/>
  <c r="I18" i="11"/>
  <c r="O49" i="11"/>
  <c r="I7" i="11"/>
  <c r="O8" i="11"/>
  <c r="O39" i="11"/>
  <c r="O43" i="11"/>
  <c r="O25" i="11"/>
  <c r="O29" i="11"/>
  <c r="O32" i="11"/>
  <c r="I61" i="11"/>
  <c r="O13" i="11"/>
  <c r="I54" i="11"/>
  <c r="O14" i="11"/>
  <c r="I28" i="11"/>
  <c r="O60" i="11"/>
  <c r="I41" i="11"/>
  <c r="I25" i="11"/>
  <c r="O10" i="11"/>
  <c r="O56" i="11"/>
  <c r="O26" i="11"/>
  <c r="O5" i="11"/>
  <c r="O27" i="11"/>
  <c r="O22" i="11"/>
  <c r="I44" i="11"/>
  <c r="O46" i="11"/>
  <c r="I4" i="11"/>
  <c r="I20" i="11"/>
  <c r="I21" i="11"/>
  <c r="O48" i="11"/>
  <c r="I36" i="11"/>
  <c r="O18" i="11"/>
  <c r="O16" i="11"/>
  <c r="O57" i="11"/>
  <c r="O20" i="11"/>
  <c r="O34" i="11"/>
  <c r="I48" i="11"/>
  <c r="I30" i="11"/>
  <c r="O21" i="11"/>
  <c r="O50" i="11"/>
  <c r="I34" i="11"/>
  <c r="O31" i="11"/>
  <c r="O55" i="11"/>
  <c r="O9"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<sst xmlns="http://schemas.openxmlformats.org/spreadsheetml/2006/main" count="14973" uniqueCount="2576">
  <si>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</si>
  <si>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</si>
  <si>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</si>
  <si>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</si>
  <si>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</si>
  <si>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</si>
  <si>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</si>
  <si>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</si>
  <si>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</si>
  <si>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</si>
  <si>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</si>
  <si>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</si>
  <si>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</si>
  <si>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</si>
  <si>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</si>
  <si>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</si>
  <si>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</si>
  <si>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</si>
  <si>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</si>
  <si>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</si>
  <si>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</si>
  <si>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</si>
  <si>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</si>
  <si>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</si>
  <si>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</si>
  <si>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</si>
  <si>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</si>
  <si>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</si>
  <si>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</si>
  <si>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</si>
  <si>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</si>
  <si>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</si>
  <si>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</si>
  <si>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</si>
  <si>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</si>
  <si>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</si>
  <si>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</si>
  <si>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</si>
  <si>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</si>
  <si>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</si>
  <si>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</si>
  <si>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</si>
  <si>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</si>
  <si>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</si>
  <si>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</si>
  <si>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</si>
  <si>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</si>
  <si>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</si>
  <si>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</si>
  <si>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</si>
  <si>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</si>
  <si>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</si>
  <si>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</si>
  <si>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</si>
  <si>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</si>
  <si>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</si>
  <si>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</si>
  <si>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</si>
  <si>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</si>
  <si>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</si>
  <si>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</si>
  <si>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</si>
  <si>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</si>
  <si>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</si>
  <si>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</si>
  <si>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</si>
  <si>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</si>
  <si>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</si>
  <si>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</si>
  <si>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</si>
  <si>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</si>
  <si>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</si>
  <si>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</si>
  <si>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</si>
  <si>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</si>
  <si>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</si>
  <si>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</si>
  <si>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</si>
  <si>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</si>
  <si>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</si>
  <si>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</si>
  <si>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</si>
  <si>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</si>
  <si>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</si>
  <si>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</si>
  <si>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</si>
  <si>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</si>
  <si>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</si>
  <si>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</si>
  <si>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</si>
  <si>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</si>
  <si>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</si>
  <si>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</si>
  <si>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</si>
  <si>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</si>
  <si>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</si>
  <si>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</si>
  <si>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</si>
  <si>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</si>
  <si>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</si>
  <si>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</si>
  <si>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</si>
  <si>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</si>
  <si>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</si>
  <si>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</si>
  <si>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</si>
  <si>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</si>
  <si>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</si>
  <si>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</si>
  <si>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</si>
  <si>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</si>
  <si>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</si>
  <si>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</si>
  <si>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</si>
  <si>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</si>
  <si>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</si>
  <si>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</si>
  <si>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</si>
  <si>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</si>
  <si>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</si>
  <si>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</si>
  <si>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</si>
  <si>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</si>
  <si>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</si>
  <si>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</si>
  <si>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</si>
  <si>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</si>
  <si>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</si>
  <si>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</si>
  <si>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</si>
  <si>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</si>
  <si>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</si>
  <si>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</si>
  <si>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</si>
  <si>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</si>
  <si>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</si>
  <si>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</si>
  <si>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</si>
  <si>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</si>
  <si>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</si>
  <si>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</si>
  <si>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</si>
  <si>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</si>
  <si>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</si>
  <si>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</si>
  <si>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</si>
  <si>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</si>
  <si>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</si>
  <si>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</si>
  <si>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</si>
  <si>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</si>
  <si>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</si>
  <si>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</si>
  <si>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</si>
  <si>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</si>
  <si>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</si>
  <si>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</si>
  <si>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</si>
  <si>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</si>
  <si>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</si>
  <si>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</si>
  <si>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</si>
  <si>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</si>
  <si>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</si>
  <si>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</si>
  <si>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</si>
  <si>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</si>
  <si>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</si>
  <si>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</si>
  <si>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</si>
  <si>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</si>
  <si>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</si>
  <si>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</si>
  <si>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</si>
  <si>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</si>
  <si>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</si>
  <si>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</si>
  <si>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</si>
  <si>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</si>
  <si>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</si>
  <si>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</si>
  <si>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</si>
  <si>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</si>
  <si>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</si>
  <si>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</si>
  <si>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</si>
  <si>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</si>
  <si>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</si>
  <si>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</si>
  <si>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</si>
  <si>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</si>
  <si>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</si>
  <si>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</si>
  <si>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</si>
  <si>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</si>
  <si>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</si>
  <si>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</si>
  <si>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</si>
  <si>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</si>
  <si>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</si>
  <si>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</si>
  <si>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</si>
  <si>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</si>
  <si>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</si>
  <si>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</si>
  <si>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</si>
  <si>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</si>
  <si>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</si>
  <si>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</si>
  <si>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</si>
  <si>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</si>
  <si>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</si>
  <si>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</si>
  <si>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</si>
  <si>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</si>
  <si>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</si>
  <si>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</si>
  <si>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</si>
  <si>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</si>
  <si>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</si>
  <si>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</si>
  <si>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</si>
  <si>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</si>
  <si>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</si>
  <si>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</si>
  <si>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</si>
  <si>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</si>
  <si>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</si>
  <si>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</si>
  <si>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</si>
  <si>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</si>
  <si>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</si>
  <si>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</si>
  <si>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</si>
  <si>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</si>
  <si>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</si>
  <si>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</si>
  <si>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</si>
  <si>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</si>
  <si>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</si>
  <si>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</si>
  <si>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</si>
  <si>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</si>
  <si>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</si>
  <si>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</si>
  <si>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</si>
  <si>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</si>
  <si>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</si>
  <si>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</si>
  <si>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</si>
  <si>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</si>
  <si>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</si>
  <si>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</si>
  <si>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</si>
  <si>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</si>
  <si>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</si>
  <si>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</si>
  <si>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</si>
  <si>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</si>
  <si>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</si>
  <si>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</si>
  <si>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</si>
  <si>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</si>
  <si>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</si>
  <si>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</si>
  <si>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</si>
  <si>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</si>
  <si>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</si>
  <si>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</si>
  <si>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</si>
  <si>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</si>
  <si>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</si>
  <si>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</si>
  <si>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</si>
  <si>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</si>
  <si>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</si>
  <si>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</si>
  <si>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</si>
  <si>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</si>
  <si>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</si>
  <si>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</si>
  <si>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</si>
  <si>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</si>
  <si>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</si>
  <si>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</si>
  <si>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</si>
  <si>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</si>
  <si>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</si>
  <si>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</si>
  <si>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</si>
  <si>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</si>
  <si>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</si>
  <si>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</si>
  <si>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</si>
  <si>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</si>
  <si>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</si>
  <si>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</si>
  <si>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</si>
  <si>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</si>
  <si>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</si>
  <si>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</si>
  <si>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</si>
  <si>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</si>
  <si>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</si>
  <si>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</si>
  <si>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</si>
  <si>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</si>
  <si>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</si>
  <si>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</si>
  <si>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</si>
  <si>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</si>
  <si>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</si>
  <si>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</si>
  <si>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</si>
  <si>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</si>
  <si>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</si>
  <si>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</si>
  <si>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</si>
  <si>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</si>
  <si>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</si>
  <si>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</si>
  <si>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</si>
  <si>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</si>
  <si>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</si>
  <si>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</si>
  <si>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</si>
  <si>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</si>
  <si>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</si>
  <si>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</si>
  <si>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</si>
  <si>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</si>
  <si>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</si>
  <si>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</si>
  <si>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</si>
  <si>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</si>
  <si>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</si>
  <si>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</si>
  <si>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</si>
  <si>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</si>
  <si>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</si>
  <si>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</si>
  <si>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</si>
  <si>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</si>
  <si>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</si>
  <si>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</si>
  <si>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</si>
  <si>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</si>
  <si>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</si>
  <si>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</si>
  <si>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</si>
  <si>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</si>
  <si>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</si>
  <si>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</si>
  <si>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</si>
  <si>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</si>
  <si>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</si>
  <si>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</si>
  <si>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</si>
  <si>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</si>
  <si>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</si>
  <si>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</si>
  <si>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</si>
  <si>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</si>
  <si>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</si>
  <si>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</si>
  <si>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</si>
  <si>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</si>
  <si>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</si>
  <si>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</si>
  <si>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</si>
  <si>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</si>
  <si>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</si>
  <si>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</si>
  <si>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</si>
  <si>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</si>
  <si>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</si>
  <si>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</si>
  <si>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</si>
  <si>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</si>
  <si>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</si>
  <si>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</si>
  <si>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</si>
  <si>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</si>
  <si>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</si>
  <si>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</si>
  <si>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</si>
  <si>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</si>
  <si>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</si>
  <si>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</si>
  <si>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</si>
  <si>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</si>
  <si>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</si>
  <si>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</si>
  <si>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</si>
  <si>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</si>
  <si>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</si>
  <si>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</si>
  <si>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</si>
  <si>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</si>
  <si>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</si>
  <si>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</si>
  <si>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</si>
  <si>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</si>
  <si>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</si>
  <si>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</si>
  <si>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</si>
  <si>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</si>
  <si>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</si>
  <si>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</si>
  <si>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</si>
  <si>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</si>
  <si>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</si>
  <si>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</si>
  <si>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</si>
  <si>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</si>
  <si>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</si>
  <si>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</si>
  <si>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</si>
  <si>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</si>
  <si>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</si>
  <si>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</si>
  <si>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</si>
  <si>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</si>
  <si>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</si>
  <si>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</si>
  <si>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</si>
  <si>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</si>
  <si>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</si>
  <si>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</si>
  <si>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</si>
  <si>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</si>
  <si>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</si>
  <si>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</si>
  <si>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</si>
  <si>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</si>
  <si>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</si>
  <si>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</si>
  <si>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</si>
  <si>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</si>
  <si>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</si>
  <si>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</si>
  <si>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</si>
  <si>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</si>
  <si>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</si>
  <si>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</si>
  <si>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</si>
  <si>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</si>
  <si>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</si>
  <si>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</si>
  <si>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</si>
  <si>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</si>
  <si>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</si>
  <si>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</si>
  <si>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</si>
  <si>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</si>
  <si>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</si>
  <si>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</si>
  <si>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</si>
  <si>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</si>
  <si>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</si>
  <si>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</si>
  <si>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</si>
  <si>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</si>
  <si>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</si>
  <si>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</si>
  <si>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</si>
  <si>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</si>
  <si>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</si>
  <si>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</si>
  <si>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</si>
  <si>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</si>
  <si>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</si>
  <si>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</si>
  <si>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</si>
  <si>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</si>
  <si>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</si>
  <si>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</si>
  <si>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</si>
  <si>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</si>
  <si>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</si>
  <si>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</si>
  <si>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</si>
  <si>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</si>
  <si>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</si>
  <si>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</si>
  <si>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</si>
  <si>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</si>
  <si>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</si>
  <si>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</si>
  <si>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</si>
  <si>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</si>
  <si>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</si>
  <si>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</si>
  <si>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</si>
  <si>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</si>
  <si>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</si>
  <si>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</si>
  <si>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</si>
  <si>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</si>
  <si>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</si>
  <si>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</si>
  <si>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</si>
  <si>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</si>
  <si>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</si>
  <si>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</si>
  <si>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</si>
  <si>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</si>
  <si>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</si>
  <si>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</si>
  <si>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</si>
  <si>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</si>
  <si>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</si>
  <si>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</si>
  <si>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</si>
  <si>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</si>
  <si>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</si>
  <si>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</si>
  <si>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</si>
  <si>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</si>
  <si>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</si>
  <si>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</si>
  <si>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</si>
  <si>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</si>
  <si>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</si>
  <si>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</si>
  <si>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</si>
  <si>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</si>
  <si>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</si>
  <si>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</si>
  <si>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</si>
  <si>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</si>
  <si>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</si>
  <si>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</si>
  <si>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</si>
  <si>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</si>
  <si>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</si>
  <si>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</si>
  <si>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</si>
  <si>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</si>
  <si>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</si>
  <si>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</si>
  <si>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</si>
  <si>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</si>
  <si>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</si>
  <si>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</si>
  <si>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</si>
  <si>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</si>
  <si>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</si>
  <si>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</si>
  <si>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</si>
  <si>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</si>
  <si>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</si>
  <si>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</si>
  <si>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</si>
  <si>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</si>
  <si>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</si>
  <si>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</si>
  <si>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</si>
  <si>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</si>
  <si>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</si>
  <si>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</si>
  <si>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</si>
  <si>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</si>
  <si>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</si>
  <si>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</si>
  <si>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</si>
  <si>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</si>
  <si>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</si>
  <si>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</si>
  <si>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</si>
  <si>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</si>
  <si>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</si>
  <si>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</si>
  <si>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</si>
  <si>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</si>
  <si>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</si>
  <si>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</si>
  <si>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</si>
  <si>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</si>
  <si>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</si>
  <si>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</si>
  <si>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</si>
  <si>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</si>
  <si>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</si>
  <si>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</si>
  <si>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</si>
  <si>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</si>
  <si>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</si>
  <si>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</si>
  <si>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</si>
  <si>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</si>
  <si>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</si>
  <si>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</si>
  <si>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</si>
  <si>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</si>
  <si>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</si>
  <si>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</si>
  <si>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</si>
  <si>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</si>
  <si>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</si>
  <si>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</si>
  <si>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</si>
  <si>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</si>
  <si>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</si>
  <si>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</si>
  <si>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</si>
  <si>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</si>
  <si>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</si>
  <si>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</si>
  <si>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</si>
  <si>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</si>
  <si>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</si>
  <si>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</si>
  <si>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</si>
  <si>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</si>
  <si>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</si>
  <si>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</si>
  <si>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</si>
  <si>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</si>
  <si>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</si>
  <si>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</si>
  <si>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</si>
  <si>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</si>
  <si>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</si>
  <si>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</si>
  <si>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</si>
  <si>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</si>
  <si>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</si>
  <si>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</si>
  <si>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</si>
  <si>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</si>
  <si>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</si>
  <si>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</si>
  <si>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</si>
  <si>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</si>
  <si>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</si>
  <si>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</si>
  <si>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</si>
  <si>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</si>
  <si>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</si>
  <si>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</si>
  <si>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</si>
  <si>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</si>
  <si>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</si>
  <si>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</si>
  <si>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</si>
  <si>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</si>
  <si>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</si>
  <si>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</si>
  <si>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</si>
  <si>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</si>
  <si>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</si>
  <si>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</si>
  <si>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</si>
  <si>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</si>
  <si>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</si>
  <si>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</si>
  <si>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</si>
  <si>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</si>
  <si>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</si>
  <si>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</si>
  <si>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</si>
  <si>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</si>
  <si>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</si>
  <si>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</si>
  <si>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</si>
  <si>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</si>
  <si>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</si>
  <si>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</si>
  <si>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</si>
  <si>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</si>
  <si>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</si>
  <si>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</si>
  <si>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</si>
  <si>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</si>
  <si>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</si>
  <si>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</si>
  <si>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</si>
  <si>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</si>
  <si>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</si>
  <si>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</si>
  <si>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</si>
  <si>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</si>
  <si>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</si>
  <si>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</si>
  <si>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</si>
  <si>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</si>
  <si>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</si>
  <si>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</si>
  <si>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</si>
  <si>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</si>
  <si>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</si>
  <si>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</si>
  <si>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</si>
  <si>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</si>
  <si>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</si>
  <si>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</si>
  <si>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</si>
  <si>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</si>
  <si>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</si>
  <si>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</si>
  <si>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</si>
  <si>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</si>
  <si>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</si>
  <si>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</si>
  <si>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</si>
  <si>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</si>
  <si>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</si>
  <si>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</si>
  <si>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</si>
  <si>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</si>
  <si>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</si>
  <si>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</si>
  <si>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</si>
  <si>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</si>
  <si>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</si>
  <si>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</si>
  <si>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</si>
  <si>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</si>
  <si>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</si>
  <si>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</si>
  <si>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</si>
  <si>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</si>
  <si>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</si>
  <si>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</si>
  <si>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</si>
  <si>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</si>
  <si>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</si>
  <si>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</si>
  <si>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</si>
  <si>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</si>
  <si>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</si>
  <si>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</si>
  <si>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</si>
  <si>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</si>
  <si>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</si>
  <si>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</si>
  <si>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</si>
  <si>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</si>
  <si>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</si>
  <si>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</si>
  <si>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</si>
  <si>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</si>
  <si>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</si>
  <si>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</si>
  <si>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</si>
  <si>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</si>
  <si>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</si>
  <si>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</si>
  <si>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</si>
  <si>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</si>
  <si>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</si>
  <si>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</si>
  <si>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</si>
  <si>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</si>
  <si>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</si>
  <si>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</si>
  <si>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</si>
  <si>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</si>
  <si>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</si>
  <si>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</si>
  <si>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</si>
  <si>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</si>
  <si>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</si>
  <si>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</si>
  <si>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</si>
  <si>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</si>
  <si>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</si>
  <si>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</si>
  <si>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</si>
  <si>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</si>
  <si>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</si>
  <si>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</si>
  <si>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</si>
  <si>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</si>
  <si>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</si>
  <si>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</si>
  <si>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</si>
  <si>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</si>
  <si>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</si>
  <si>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</si>
  <si>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</si>
  <si>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</si>
  <si>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</si>
  <si>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</si>
  <si>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</si>
  <si>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</si>
  <si>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</si>
  <si>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</si>
  <si>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</si>
  <si>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</si>
  <si>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</si>
  <si>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</si>
  <si>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</si>
  <si>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</si>
  <si>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</si>
  <si>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</si>
  <si>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</si>
  <si>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</si>
  <si>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</si>
  <si>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</si>
  <si>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</si>
  <si>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</si>
  <si>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</si>
  <si>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</si>
  <si>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</si>
  <si>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</si>
  <si>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</si>
  <si>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</si>
  <si>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</si>
  <si>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</si>
  <si>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</si>
  <si>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</si>
  <si>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</si>
  <si>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</si>
  <si>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</si>
  <si>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</si>
  <si>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</si>
  <si>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</si>
  <si>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</si>
  <si>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</si>
  <si>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</si>
  <si>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</si>
  <si>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</si>
  <si>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</si>
  <si>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</si>
  <si>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</si>
  <si>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</si>
  <si>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</si>
  <si>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</si>
  <si>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</si>
  <si>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</si>
  <si>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</si>
  <si>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</si>
  <si>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</si>
  <si>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</si>
  <si>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</si>
  <si>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</si>
  <si>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</si>
  <si>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</si>
  <si>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</si>
  <si>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</si>
  <si>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</si>
  <si>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</si>
  <si>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</si>
  <si>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</si>
  <si>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</si>
  <si>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</si>
  <si>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</si>
  <si>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</si>
  <si>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</si>
  <si>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</si>
  <si>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</si>
  <si>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</si>
  <si>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</si>
  <si>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</si>
  <si>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</si>
  <si>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</si>
  <si>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</si>
  <si>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</si>
  <si>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</si>
  <si>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</si>
  <si>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</si>
  <si>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</si>
  <si>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</si>
  <si>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</si>
  <si>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</si>
  <si>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</si>
  <si>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</si>
  <si>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</si>
  <si>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</si>
  <si>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</si>
  <si>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</si>
  <si>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</si>
  <si>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</si>
  <si>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</si>
  <si>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</si>
  <si>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</si>
  <si>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</si>
  <si>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</si>
  <si>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</si>
  <si>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</si>
  <si>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</si>
  <si>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</si>
  <si>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</si>
  <si>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</si>
  <si>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</si>
  <si>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</si>
  <si>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</si>
  <si>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</si>
  <si>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</si>
  <si>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</si>
  <si>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</si>
  <si>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</si>
  <si>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</si>
  <si>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</si>
  <si>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</si>
  <si>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</si>
  <si>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</si>
  <si>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</si>
  <si>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</si>
  <si>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</si>
  <si>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</si>
  <si>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</si>
  <si>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</si>
  <si>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</si>
  <si>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</si>
  <si>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</si>
  <si>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</si>
  <si>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</si>
  <si>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</si>
  <si>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</si>
  <si>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</si>
  <si>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</si>
  <si>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</si>
  <si>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</si>
  <si>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</si>
  <si>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</si>
  <si>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</si>
  <si>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</si>
  <si>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</si>
  <si>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</si>
  <si>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</si>
  <si>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</si>
  <si>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</si>
  <si>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</si>
  <si>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</si>
  <si>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</si>
  <si>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</si>
  <si>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</si>
  <si>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</si>
  <si>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</si>
  <si>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</si>
  <si>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</si>
  <si>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</si>
  <si>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</si>
  <si>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</si>
  <si>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</si>
  <si>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</si>
  <si>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</si>
  <si>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</si>
  <si>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</si>
  <si>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</si>
  <si>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</si>
  <si>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</si>
  <si>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</si>
  <si>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</si>
  <si>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</si>
  <si>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</si>
  <si>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</si>
  <si>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</si>
  <si>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</si>
  <si>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</si>
  <si>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</si>
  <si>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</si>
  <si>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</si>
  <si>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</si>
  <si>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</si>
  <si>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</si>
  <si>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</si>
  <si>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</si>
  <si>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</si>
  <si>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</si>
  <si>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</si>
  <si>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</si>
  <si>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</si>
  <si>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</si>
  <si>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</si>
  <si>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</si>
  <si>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</si>
  <si>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</si>
  <si>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</si>
  <si>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</si>
  <si>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</si>
  <si>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</si>
  <si>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</si>
  <si>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</si>
  <si>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</si>
  <si>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</si>
  <si>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</si>
  <si>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</si>
  <si>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</si>
  <si>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</si>
  <si>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</si>
  <si>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</si>
  <si>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</si>
  <si>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</si>
  <si>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</si>
  <si>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</si>
  <si>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</si>
  <si>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</si>
  <si>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</si>
  <si>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</si>
  <si>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</si>
  <si>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</si>
  <si>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</si>
  <si>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</si>
  <si>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</si>
  <si>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</si>
  <si>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</si>
  <si>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</si>
  <si>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</si>
  <si>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</si>
  <si>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</si>
  <si>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</si>
  <si>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</si>
  <si>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</si>
  <si>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</si>
  <si>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</si>
  <si>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</si>
  <si>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</si>
  <si>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</si>
  <si>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</si>
  <si>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</si>
  <si>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</si>
  <si>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</si>
  <si>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</si>
  <si>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</si>
  <si>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</si>
  <si>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</si>
  <si>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</si>
  <si>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</si>
  <si>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</si>
  <si>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</si>
  <si>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</si>
  <si>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</si>
  <si>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</si>
  <si>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</si>
  <si>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</si>
  <si>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</si>
  <si>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</si>
  <si>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</si>
  <si>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</si>
  <si>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</si>
  <si>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</si>
  <si>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</si>
  <si>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</si>
  <si>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</si>
  <si>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</si>
  <si>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</si>
  <si>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</si>
  <si>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</si>
  <si>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</si>
  <si>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</si>
  <si>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</si>
  <si>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</si>
  <si>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</si>
  <si>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</si>
  <si>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</si>
  <si>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</si>
  <si>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</si>
  <si>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</si>
  <si>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</si>
  <si>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</si>
  <si>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</si>
  <si>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</si>
  <si>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</si>
  <si>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</si>
  <si>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</si>
  <si>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</si>
  <si>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</si>
  <si>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</si>
  <si>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</si>
  <si>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</si>
  <si>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</si>
  <si>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</si>
  <si>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</si>
  <si>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</si>
  <si>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</si>
  <si>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</si>
  <si>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</si>
  <si>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</si>
  <si>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</si>
  <si>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</si>
  <si>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</si>
  <si>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</si>
  <si>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</si>
  <si>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</si>
  <si>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</si>
  <si>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</si>
  <si>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</si>
  <si>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</si>
  <si>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</si>
  <si>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</si>
  <si>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</si>
  <si>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</si>
  <si>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</si>
  <si>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</si>
  <si>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</si>
  <si>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</si>
  <si>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</si>
  <si>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</si>
  <si>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</si>
  <si>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</si>
  <si>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</si>
  <si>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</si>
  <si>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</si>
  <si>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</si>
  <si>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</si>
  <si>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</si>
  <si>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</si>
  <si>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</si>
  <si>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</si>
  <si>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</si>
  <si>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</si>
  <si>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</si>
  <si>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</si>
  <si>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</si>
  <si>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</si>
  <si>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</si>
  <si>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</si>
  <si>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</si>
  <si>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</si>
  <si>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</si>
  <si>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</si>
  <si>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</si>
  <si>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</si>
  <si>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</si>
  <si>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</si>
  <si>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</si>
  <si>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</si>
  <si>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</si>
  <si>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</si>
  <si>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</si>
  <si>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</si>
  <si>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</si>
  <si>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</si>
  <si>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</si>
  <si>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</si>
  <si>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</si>
  <si>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</si>
  <si>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</si>
  <si>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</si>
  <si>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</si>
  <si>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</si>
  <si>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</si>
  <si>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</si>
  <si>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</si>
  <si>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</si>
  <si>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</si>
  <si>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</si>
  <si>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</si>
  <si>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</si>
  <si>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</si>
  <si>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</si>
  <si>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</si>
  <si>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</si>
  <si>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</si>
  <si>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</si>
  <si>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</si>
  <si>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</si>
  <si>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</si>
  <si>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</si>
  <si>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</si>
  <si>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</si>
  <si>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</si>
  <si>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</si>
  <si>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</si>
  <si>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</si>
  <si>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</si>
  <si>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</si>
  <si>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</si>
  <si>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</si>
  <si>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</si>
  <si>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</si>
  <si>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</si>
  <si>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</si>
  <si>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</si>
  <si>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</si>
  <si>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</si>
  <si>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</si>
  <si>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</si>
  <si>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</si>
  <si>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</si>
  <si>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</si>
  <si>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</si>
  <si>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</si>
  <si>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</si>
  <si>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</si>
  <si>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</si>
  <si>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</si>
  <si>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</si>
  <si>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</si>
  <si>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</si>
  <si>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</si>
  <si>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</si>
  <si>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</si>
  <si>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</si>
  <si>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</si>
  <si>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</si>
  <si>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</si>
  <si>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</si>
  <si>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</si>
  <si>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</si>
  <si>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</si>
  <si>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</si>
  <si>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</si>
  <si>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</si>
  <si>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</si>
  <si>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</si>
  <si>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</si>
  <si>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</si>
  <si>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</si>
  <si>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</si>
  <si>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</si>
  <si>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</si>
  <si>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</si>
  <si>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</si>
  <si>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</si>
  <si>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</si>
  <si>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</si>
  <si>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</si>
  <si>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</si>
  <si>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</si>
  <si>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</si>
  <si>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</si>
  <si>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</si>
  <si>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</si>
  <si>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</si>
  <si>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</si>
  <si>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</si>
  <si>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</si>
  <si>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</si>
  <si>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</si>
  <si>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</si>
  <si>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</si>
  <si>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</si>
  <si>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</si>
  <si>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</si>
  <si>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</si>
  <si>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</si>
  <si>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</si>
  <si>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</si>
  <si>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</si>
  <si>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</si>
  <si>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</si>
  <si>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</si>
  <si>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</si>
  <si>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</si>
  <si>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</si>
  <si>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</si>
  <si>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</si>
  <si>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</si>
  <si>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</si>
  <si>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</si>
  <si>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</si>
  <si>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</si>
  <si>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</si>
  <si>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</si>
  <si>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</si>
  <si>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</si>
  <si>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</si>
  <si>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</si>
  <si>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</si>
  <si>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</si>
  <si>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</si>
  <si>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</si>
  <si>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</si>
  <si>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</si>
  <si>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</si>
  <si>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</si>
  <si>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</si>
  <si>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</si>
  <si>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</si>
  <si>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</si>
  <si>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</si>
  <si>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</si>
  <si>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</si>
  <si>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</si>
  <si>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</si>
  <si>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</si>
  <si>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</si>
  <si>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</si>
  <si>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</si>
  <si>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</si>
  <si>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</si>
  <si>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</si>
  <si>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</si>
  <si>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</si>
  <si>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</si>
  <si>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</si>
  <si>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</si>
  <si>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</si>
  <si>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</si>
  <si>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</si>
  <si>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</si>
  <si>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</si>
  <si>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</si>
  <si>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</si>
  <si>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</si>
  <si>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</si>
  <si>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</si>
  <si>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</si>
  <si>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</si>
  <si>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</si>
  <si>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</si>
  <si>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</si>
  <si>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</si>
  <si>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</si>
  <si>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</si>
  <si>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</si>
  <si>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</si>
  <si>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</si>
  <si>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</si>
  <si>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</si>
  <si>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</si>
  <si>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</si>
  <si>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</si>
  <si>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</si>
  <si>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</si>
  <si>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</si>
  <si>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</si>
  <si>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</si>
  <si>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</si>
  <si>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</si>
  <si>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</si>
  <si>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</si>
  <si>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</si>
  <si>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</si>
  <si>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</si>
  <si>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</si>
  <si>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</si>
  <si>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</si>
  <si>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</si>
  <si>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</si>
  <si>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</si>
  <si>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</si>
  <si>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</si>
  <si>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</si>
  <si>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</si>
  <si>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</si>
  <si>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</si>
  <si>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</si>
  <si>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</si>
  <si>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</si>
  <si>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</si>
  <si>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</si>
  <si>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</si>
  <si>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</si>
  <si>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</si>
  <si>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</si>
  <si>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</si>
  <si>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</si>
  <si>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</si>
  <si>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</si>
  <si>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</si>
  <si>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</si>
  <si>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</si>
  <si>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</si>
  <si>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</si>
  <si>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</si>
  <si>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</si>
  <si>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</si>
  <si>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</si>
  <si>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</si>
  <si>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</si>
  <si>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</si>
  <si>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</si>
  <si>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</si>
  <si>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</si>
  <si>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</si>
  <si>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</si>
  <si>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</si>
  <si>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</si>
  <si>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</si>
  <si>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</si>
  <si>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</si>
  <si>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</si>
  <si>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</si>
  <si>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</si>
  <si>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</si>
  <si>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</si>
  <si>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</si>
  <si>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</si>
  <si>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</si>
  <si>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</si>
  <si>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</si>
  <si>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</si>
  <si>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</si>
  <si>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</si>
  <si>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</si>
  <si>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</si>
  <si>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</si>
  <si>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</si>
  <si>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</si>
  <si>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</si>
  <si>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</si>
  <si>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</si>
  <si>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</si>
  <si>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</si>
  <si>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</si>
  <si>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</si>
  <si>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</si>
  <si>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</si>
  <si>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</si>
  <si>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</si>
  <si>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</si>
  <si>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</si>
  <si>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</si>
  <si>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</si>
  <si>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</si>
  <si>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</si>
  <si>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</si>
  <si>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</si>
  <si>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</si>
  <si>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</si>
  <si>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</si>
  <si>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</si>
  <si>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</si>
  <si>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</si>
  <si>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</si>
  <si>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</si>
  <si>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</si>
  <si>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</si>
  <si>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</si>
  <si>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</si>
  <si>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</si>
  <si>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</si>
  <si>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</si>
  <si>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</si>
  <si>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</si>
  <si>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</si>
  <si>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</si>
  <si>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</si>
  <si>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</si>
  <si>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</si>
  <si>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</si>
  <si>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</si>
  <si>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</si>
  <si>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</si>
  <si>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</si>
  <si>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</si>
  <si>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</si>
  <si>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</si>
  <si>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</si>
  <si>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</si>
  <si>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</si>
  <si>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</si>
  <si>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</si>
  <si>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</si>
  <si>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</si>
  <si>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</si>
  <si>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</si>
  <si>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</si>
  <si>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</si>
  <si>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</si>
  <si>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</si>
  <si>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</si>
  <si>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</si>
  <si>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</si>
  <si>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</si>
  <si>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</si>
  <si>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</si>
  <si>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</si>
  <si>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</si>
  <si>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</si>
  <si>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</si>
  <si>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</si>
  <si>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</si>
  <si>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</si>
  <si>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</si>
  <si>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</si>
  <si>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</si>
  <si>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</si>
  <si>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</si>
  <si>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</si>
  <si>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</si>
  <si>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</si>
  <si>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</si>
  <si>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</si>
  <si>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</si>
  <si>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</si>
  <si>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</si>
  <si>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</si>
  <si>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</si>
  <si>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</si>
  <si>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</si>
  <si>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</si>
  <si>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</si>
  <si>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</si>
  <si>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</si>
  <si>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</si>
  <si>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</si>
  <si>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</si>
  <si>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</si>
  <si>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</si>
  <si>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</si>
  <si>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</si>
  <si>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</si>
  <si>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</si>
  <si>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</si>
  <si>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</si>
  <si>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</si>
  <si>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</si>
  <si>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</si>
  <si>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</si>
  <si>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</si>
  <si>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</si>
  <si>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</si>
  <si>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</si>
  <si>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</si>
  <si>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</si>
  <si>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</si>
  <si>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</si>
  <si>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</si>
  <si>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</si>
  <si>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</si>
  <si>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</si>
  <si>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</si>
  <si>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</si>
  <si>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</si>
  <si>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</si>
  <si>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</si>
  <si>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</si>
  <si>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</si>
  <si>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</si>
  <si>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</si>
  <si>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</si>
  <si>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</si>
  <si>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</si>
  <si>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</si>
  <si>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</si>
  <si>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</si>
  <si>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</si>
  <si>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</si>
  <si>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</si>
  <si>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</si>
  <si>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</si>
  <si>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</si>
  <si>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</si>
  <si>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</si>
  <si>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</si>
  <si>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</si>
  <si>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</si>
  <si>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</si>
  <si>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</si>
  <si>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</si>
  <si>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</si>
  <si>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</si>
  <si>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</si>
  <si>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</si>
  <si>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</si>
  <si>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</si>
  <si>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</si>
  <si>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</si>
  <si>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</si>
  <si>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</si>
  <si>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</si>
  <si>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</si>
  <si>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</si>
  <si>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</si>
  <si>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</si>
  <si>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</si>
  <si>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</si>
  <si>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</si>
  <si>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</si>
  <si>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</si>
  <si>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</si>
  <si>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</si>
  <si>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</si>
  <si>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</si>
  <si>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</si>
  <si>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</si>
  <si>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</si>
  <si>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</si>
  <si>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</si>
  <si>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</si>
  <si>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</si>
  <si>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</si>
  <si>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</si>
  <si>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</si>
  <si>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</si>
  <si>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</si>
  <si>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</si>
  <si>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</si>
  <si>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</si>
  <si>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</si>
  <si>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</si>
  <si>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</si>
  <si>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</si>
  <si>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</si>
  <si>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</si>
  <si>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</si>
  <si>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</si>
  <si>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</si>
  <si>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</si>
  <si>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</si>
  <si>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</si>
  <si>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</si>
  <si>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</si>
  <si>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</si>
  <si>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</si>
  <si>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</si>
  <si>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</si>
  <si>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</si>
  <si>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</si>
  <si>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</si>
  <si>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</si>
  <si>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</si>
  <si>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</si>
  <si>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</si>
  <si>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</si>
  <si>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</si>
  <si>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</si>
  <si>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</si>
  <si>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</si>
  <si>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</si>
  <si>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</si>
  <si>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</si>
  <si>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</si>
  <si>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</si>
  <si>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</si>
  <si>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</si>
  <si>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</si>
  <si>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</si>
  <si>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</si>
  <si>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</si>
  <si>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</si>
  <si>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</si>
  <si>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</si>
  <si>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</si>
  <si>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</si>
  <si>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</si>
  <si>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</si>
  <si>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</si>
  <si>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</si>
  <si>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</si>
  <si>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</si>
  <si>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</si>
  <si>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</si>
  <si>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</si>
  <si>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</si>
  <si>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</si>
  <si>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</si>
  <si>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</si>
  <si>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</si>
  <si>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</si>
  <si>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</si>
  <si>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</si>
  <si>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</si>
  <si>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</si>
  <si>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</si>
  <si>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</si>
  <si>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</si>
  <si>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</si>
  <si>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</si>
  <si>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</si>
  <si>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</si>
  <si>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</si>
  <si>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</si>
  <si>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</si>
  <si>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</si>
  <si>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</si>
  <si>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</si>
  <si>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</si>
  <si>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</si>
  <si>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</si>
  <si>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</si>
  <si>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</si>
  <si>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</si>
  <si>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</si>
  <si>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</si>
  <si>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</si>
  <si>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</si>
  <si>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</si>
  <si>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</si>
  <si>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</si>
  <si>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</si>
  <si>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</si>
  <si>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</si>
  <si>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</si>
  <si>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</si>
  <si>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</si>
  <si>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</si>
  <si>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</si>
  <si>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</si>
  <si>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</si>
  <si>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</si>
  <si>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</si>
  <si>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</si>
  <si>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</si>
  <si>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</si>
  <si>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</si>
  <si>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</si>
  <si>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</si>
  <si>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</si>
  <si>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</si>
  <si>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</si>
  <si>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</si>
  <si>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</si>
  <si>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</si>
  <si>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</si>
  <si>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</si>
  <si>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</si>
  <si>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</si>
  <si>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</si>
  <si>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</si>
  <si>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</si>
  <si>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</si>
  <si>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</si>
  <si>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</si>
  <si>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</si>
  <si>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</si>
  <si>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</si>
  <si>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</si>
  <si>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</si>
  <si>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</si>
  <si>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</si>
  <si>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</si>
  <si>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</si>
  <si>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</si>
  <si>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</si>
  <si>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</si>
  <si>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</si>
  <si>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</si>
  <si>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</si>
  <si>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</si>
  <si>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</si>
  <si>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</si>
  <si>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</si>
  <si>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</si>
  <si>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</si>
  <si>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</si>
  <si>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</si>
  <si>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</si>
  <si>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</si>
  <si>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</si>
  <si>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</si>
  <si>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</si>
  <si>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</si>
  <si>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</si>
  <si>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</si>
  <si>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</si>
  <si>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</si>
  <si>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</si>
  <si>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</si>
  <si>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</si>
  <si>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</si>
  <si>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</si>
  <si>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</si>
  <si>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</si>
  <si>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</si>
  <si>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</si>
  <si>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</si>
  <si>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</si>
  <si>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</si>
  <si>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</si>
  <si>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</si>
  <si>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</si>
  <si>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</si>
  <si>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</si>
  <si>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</si>
  <si>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</si>
  <si>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</si>
  <si>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</si>
  <si>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</si>
  <si>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</si>
  <si>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</si>
  <si>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</si>
  <si>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</si>
  <si>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</si>
  <si>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</si>
  <si>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</si>
  <si>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</si>
  <si>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</si>
  <si>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</si>
  <si>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</si>
  <si>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</si>
  <si>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</si>
  <si>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</si>
  <si>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</si>
  <si>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</si>
  <si>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</si>
  <si>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</si>
  <si>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</si>
  <si>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</si>
  <si>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</si>
  <si>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</si>
  <si>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</si>
  <si>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</si>
  <si>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</si>
  <si>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</si>
  <si>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</si>
  <si>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</si>
  <si>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</si>
  <si>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</si>
  <si>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</si>
  <si>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</si>
  <si>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</si>
  <si>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</si>
  <si>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</si>
  <si>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</si>
  <si>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</si>
  <si>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</si>
  <si>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</si>
  <si>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</si>
  <si>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</si>
  <si>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</si>
  <si>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</si>
  <si>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</si>
  <si>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</si>
  <si>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</si>
  <si>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</si>
  <si>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</si>
  <si>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</si>
  <si>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</si>
  <si>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</si>
  <si>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</si>
  <si>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</si>
  <si>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</si>
  <si>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</si>
  <si>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</si>
  <si>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</si>
  <si>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</si>
  <si>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</si>
  <si>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</si>
  <si>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</si>
  <si>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</si>
  <si>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</si>
  <si>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</si>
  <si>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</si>
  <si>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</si>
  <si>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</si>
  <si>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</si>
  <si>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</si>
  <si>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</si>
  <si>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</si>
  <si>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</si>
  <si>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</si>
  <si>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</si>
  <si>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</si>
  <si>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</si>
  <si>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</si>
  <si>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</si>
  <si>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</si>
  <si>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</si>
  <si>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</si>
  <si>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</si>
  <si>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</si>
  <si>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</si>
  <si>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</si>
  <si>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</si>
  <si>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</si>
  <si>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</si>
  <si>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</si>
  <si>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</si>
  <si>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</si>
  <si>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</si>
  <si>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</si>
  <si>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</si>
  <si>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</si>
  <si>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</si>
  <si>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</si>
  <si>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</si>
  <si>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</si>
  <si>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</si>
  <si>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</si>
  <si>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</si>
  <si>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</si>
  <si>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</si>
  <si>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</si>
  <si>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</si>
  <si>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</si>
  <si>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</si>
  <si>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</si>
  <si>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</si>
  <si>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</si>
  <si>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</si>
  <si>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</si>
  <si>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</si>
  <si>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</si>
  <si>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</si>
  <si>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</si>
  <si>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</si>
  <si>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</si>
  <si>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</si>
  <si>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</si>
  <si>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</si>
  <si>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</si>
  <si>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</si>
  <si>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</si>
  <si>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</si>
  <si>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</si>
  <si>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</si>
  <si>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</si>
  <si>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</si>
  <si>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</si>
  <si>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</si>
  <si>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</si>
  <si>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</si>
  <si>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</si>
  <si>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</si>
  <si>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</si>
  <si>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</si>
  <si>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</si>
  <si>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</si>
  <si>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</si>
  <si>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</si>
  <si>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</si>
  <si>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</si>
  <si>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</si>
  <si>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</si>
  <si>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</si>
  <si>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</si>
  <si>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</si>
  <si>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</si>
  <si>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</si>
  <si>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</si>
  <si>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</si>
  <si>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</si>
  <si>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</si>
  <si>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</si>
  <si>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</si>
  <si>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</si>
  <si>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</si>
  <si>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</si>
  <si>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</si>
  <si>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</si>
  <si>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</si>
  <si>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</si>
  <si>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</si>
  <si>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</si>
  <si>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</si>
  <si>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</si>
  <si>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</si>
  <si>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</si>
  <si>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</si>
  <si>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</si>
  <si>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</si>
  <si>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</si>
  <si>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</si>
  <si>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</si>
  <si>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</si>
  <si>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</si>
  <si>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</si>
  <si>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</si>
  <si>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</si>
  <si>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</si>
  <si>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</si>
  <si>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</si>
  <si>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</si>
  <si>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</si>
  <si>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</si>
  <si>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</si>
  <si>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</si>
  <si>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</si>
  <si>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</si>
  <si>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</si>
  <si>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</si>
  <si>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</si>
  <si>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</si>
  <si>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</si>
  <si>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</si>
  <si>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</si>
  <si>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</si>
  <si>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</si>
  <si>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</si>
  <si>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</si>
  <si>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</si>
  <si>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</si>
  <si>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</si>
  <si>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</si>
  <si>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</si>
  <si>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</si>
  <si>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</si>
  <si>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</si>
  <si>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</si>
  <si>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</si>
  <si>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</si>
  <si>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</si>
  <si>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</si>
  <si>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</si>
  <si>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</si>
  <si>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</si>
  <si>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</si>
  <si>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</si>
  <si>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</si>
  <si>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</si>
  <si>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</si>
  <si>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</si>
  <si>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</si>
  <si>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</si>
  <si>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</si>
  <si>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</si>
  <si>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</si>
  <si>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</si>
  <si>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</si>
  <si>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</si>
  <si>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</si>
  <si>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</si>
  <si>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</si>
  <si>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</si>
  <si>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</si>
  <si>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</si>
  <si>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</si>
  <si>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</si>
  <si>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</si>
  <si>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</si>
  <si>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</si>
  <si>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</si>
  <si>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</si>
  <si>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</si>
  <si>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</si>
  <si>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</si>
  <si>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</si>
  <si>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</si>
  <si>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</si>
  <si>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</si>
  <si>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</si>
  <si>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</si>
  <si>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</si>
  <si>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</si>
  <si>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</si>
  <si>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</si>
  <si>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</si>
  <si>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</si>
  <si>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</si>
  <si>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</si>
  <si>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</si>
  <si>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</si>
  <si>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</si>
  <si>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</si>
  <si>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</si>
  <si>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</si>
  <si>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</si>
  <si>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</si>
  <si>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</si>
  <si>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</si>
  <si>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</si>
  <si>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</si>
  <si>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</si>
  <si>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</si>
  <si>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</si>
  <si>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</si>
  <si>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</si>
  <si>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</si>
  <si>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</si>
  <si>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</si>
  <si>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</si>
  <si>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</si>
  <si>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</si>
  <si>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</si>
  <si>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</si>
  <si>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</si>
  <si>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</si>
  <si>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</si>
  <si>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</si>
  <si>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</si>
  <si>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</si>
  <si>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</si>
  <si>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</si>
  <si>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</si>
  <si>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</si>
  <si>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</si>
  <si>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</si>
  <si>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</si>
  <si>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</si>
  <si>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</si>
  <si>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</si>
  <si>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</si>
  <si>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</si>
  <si>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</si>
  <si>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</si>
  <si>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</si>
  <si>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</si>
  <si>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</si>
  <si>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</si>
  <si>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</si>
  <si>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</si>
  <si>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</si>
  <si>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</si>
  <si>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</si>
  <si>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</si>
  <si>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</si>
  <si>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</si>
  <si>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</si>
  <si>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</si>
  <si>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</si>
  <si>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</si>
  <si>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</si>
  <si>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</si>
  <si>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</si>
  <si>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</si>
  <si>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</si>
  <si>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</si>
  <si>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</si>
  <si>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</si>
  <si>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</si>
  <si>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</si>
  <si>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</si>
  <si>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</si>
  <si>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</si>
  <si>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</si>
  <si>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</si>
  <si>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</si>
  <si>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</si>
  <si>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</si>
  <si>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</si>
  <si>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</si>
  <si>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</si>
  <si>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</si>
  <si>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</si>
  <si>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</si>
  <si>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</si>
  <si>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</si>
  <si>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</si>
  <si>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</si>
  <si>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</si>
  <si>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</si>
  <si>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</si>
  <si>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</si>
  <si>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</si>
  <si>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</si>
  <si>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</si>
  <si>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</si>
  <si>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</si>
  <si>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</si>
  <si>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</si>
  <si>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</si>
  <si>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</si>
  <si>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</si>
  <si>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</si>
  <si>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</si>
  <si>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</si>
  <si>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</si>
  <si>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</si>
  <si>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</si>
  <si>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</si>
  <si>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</si>
  <si>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</si>
  <si>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</si>
  <si>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</si>
  <si>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</si>
  <si>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</si>
  <si>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</si>
  <si>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</si>
  <si>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</si>
  <si>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</si>
  <si>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</si>
  <si>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</si>
  <si>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</si>
  <si>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</si>
  <si>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</si>
  <si>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</si>
  <si>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</si>
  <si>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</si>
  <si>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</si>
  <si>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</si>
  <si>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</si>
  <si>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</si>
  <si>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</si>
  <si>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</si>
  <si>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</si>
  <si>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</si>
  <si>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</si>
  <si>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</si>
  <si>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</si>
  <si>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</si>
  <si>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</si>
  <si>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</si>
  <si>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</si>
  <si>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</si>
  <si>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</si>
  <si>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</si>
  <si>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</si>
  <si>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</si>
  <si>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</si>
  <si>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</si>
  <si>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</si>
  <si>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</si>
  <si>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</si>
  <si>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</si>
  <si>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</si>
  <si>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</si>
  <si>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</si>
  <si>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</si>
  <si>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</si>
  <si>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</si>
  <si>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</si>
  <si>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</si>
  <si>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</si>
  <si>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</si>
  <si>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</si>
  <si>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</si>
  <si>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</si>
  <si>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</si>
  <si>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</si>
  <si>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</si>
  <si>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</si>
  <si>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</si>
  <si>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</si>
  <si>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</si>
  <si>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</si>
  <si>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</si>
  <si>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</si>
  <si>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</si>
  <si>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</si>
  <si>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</si>
  <si>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</si>
  <si>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</si>
  <si>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</si>
  <si>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</si>
  <si>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</si>
  <si>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</si>
  <si>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</si>
  <si>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</si>
  <si>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</si>
  <si>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</si>
  <si>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</si>
  <si>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</si>
  <si>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</si>
  <si>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</si>
  <si>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</si>
  <si>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</si>
  <si>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</si>
  <si>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</si>
  <si>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</si>
  <si>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</si>
  <si>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</si>
  <si>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</si>
  <si>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</si>
  <si>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</si>
  <si>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</si>
  <si>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</si>
  <si>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</si>
  <si>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</si>
  <si>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</si>
  <si>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</si>
  <si>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</si>
  <si>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</si>
  <si>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</si>
  <si>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</si>
  <si>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</si>
  <si>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</si>
  <si>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</si>
  <si>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</si>
  <si>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</si>
  <si>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</si>
  <si>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</si>
  <si>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</si>
  <si>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</si>
  <si>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</si>
  <si>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</si>
  <si>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</si>
  <si>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</si>
  <si>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</si>
  <si>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</si>
  <si>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</si>
  <si>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</si>
  <si>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</si>
  <si>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</si>
  <si>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</si>
  <si>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</si>
  <si>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</si>
  <si>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</si>
  <si>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</si>
  <si>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</si>
  <si>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</si>
  <si>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</si>
  <si>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</si>
  <si>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</si>
  <si>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</si>
  <si>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</si>
  <si>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</si>
  <si>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</si>
  <si>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</si>
  <si>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</si>
  <si>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</si>
  <si>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</si>
  <si>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</si>
  <si>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</si>
  <si>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</si>
  <si>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</si>
  <si>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</si>
  <si>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</si>
  <si>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</si>
  <si>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</si>
  <si>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</si>
  <si>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</si>
  <si>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</si>
  <si>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</si>
  <si>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</si>
  <si>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</si>
  <si>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</si>
  <si>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</si>
  <si>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</si>
  <si>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</si>
  <si>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</si>
  <si>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</si>
  <si>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</si>
  <si>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</si>
  <si>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</si>
  <si>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</si>
  <si>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</si>
  <si>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</si>
  <si>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</si>
  <si>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</si>
  <si>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</si>
  <si>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</si>
  <si>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</si>
  <si>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</si>
  <si>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</si>
  <si>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</si>
  <si>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</si>
  <si>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</si>
  <si>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</si>
  <si>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</si>
  <si>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</si>
  <si>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</si>
  <si>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</si>
  <si>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</si>
  <si>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</si>
  <si>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</si>
  <si>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</si>
  <si>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</si>
  <si>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</si>
  <si>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</si>
  <si>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</si>
  <si>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</si>
  <si>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</si>
  <si>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</si>
  <si>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</si>
  <si>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</si>
  <si>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</si>
  <si>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</si>
  <si>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</si>
  <si>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</si>
  <si>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</si>
  <si>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</si>
  <si>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</si>
  <si>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</si>
  <si>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</si>
  <si>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</si>
  <si>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</si>
  <si>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</si>
  <si>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</si>
  <si>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</si>
  <si>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</si>
  <si>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</si>
  <si>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</si>
  <si>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</si>
  <si>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</si>
  <si>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</si>
  <si>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</si>
  <si>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</si>
  <si>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</si>
  <si>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</si>
  <si>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</si>
  <si>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</si>
  <si>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</si>
  <si>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</si>
  <si>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</si>
  <si>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</si>
  <si>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</si>
  <si>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</si>
  <si>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</si>
  <si>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</si>
  <si>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</si>
  <si>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</si>
  <si>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</si>
  <si>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</si>
  <si>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</si>
  <si>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</si>
  <si>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</si>
  <si>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</si>
  <si>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</si>
  <si>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</si>
  <si>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</si>
  <si>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</si>
  <si>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</si>
  <si>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</si>
  <si>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</si>
  <si>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</si>
  <si>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</si>
  <si>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</si>
  <si>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</si>
  <si>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</si>
  <si>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</si>
  <si>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</si>
  <si>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</si>
  <si>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</si>
  <si>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</si>
  <si>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</si>
  <si>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</si>
  <si>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</si>
  <si>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</si>
  <si>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</si>
  <si>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</si>
  <si>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</si>
  <si>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</si>
  <si>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</si>
  <si>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</si>
  <si>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</si>
  <si>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</si>
  <si>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</si>
  <si>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</si>
  <si>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</si>
  <si>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</si>
  <si>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</si>
  <si>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</si>
  <si>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</si>
  <si>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</si>
  <si>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</si>
  <si>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</si>
  <si>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</si>
  <si>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</si>
  <si>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</si>
  <si>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</si>
  <si>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</si>
  <si>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</si>
  <si>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</si>
  <si>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</si>
  <si>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</si>
  <si>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</si>
  <si>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</si>
  <si>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</si>
  <si>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</si>
  <si>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</si>
  <si>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</si>
  <si>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</si>
  <si>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</si>
  <si>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</si>
  <si>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</si>
  <si>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</si>
  <si>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</si>
  <si>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</si>
  <si>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</si>
  <si>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</si>
  <si>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</si>
  <si>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</si>
  <si>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</si>
  <si>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</si>
  <si>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</si>
  <si>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</si>
  <si>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</si>
  <si>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</si>
  <si>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</si>
  <si>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</si>
  <si>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</si>
  <si>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</si>
  <si>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</si>
  <si>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</si>
  <si>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</si>
  <si>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</si>
  <si>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</si>
  <si>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</si>
  <si>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</si>
  <si>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</si>
  <si>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</si>
  <si>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</si>
  <si>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</si>
  <si>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</si>
  <si>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</si>
  <si>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</si>
  <si>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</si>
  <si>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</si>
  <si>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</si>
  <si>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</si>
  <si>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</si>
  <si>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</si>
  <si>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</si>
  <si>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</si>
  <si>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</si>
  <si>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</si>
  <si>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</si>
  <si>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</si>
  <si>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</si>
  <si>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</si>
  <si>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</si>
  <si>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</si>
  <si>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</si>
  <si>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</si>
  <si>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</si>
  <si>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</si>
  <si>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</si>
  <si>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</si>
  <si>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</si>
  <si>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</si>
  <si>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</si>
  <si>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</si>
  <si>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</si>
  <si>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</si>
  <si>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</si>
  <si>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</si>
  <si>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</si>
  <si>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</si>
  <si>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</si>
  <si>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</si>
  <si>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</si>
  <si>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</si>
  <si>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</si>
  <si>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</si>
  <si>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</si>
  <si>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</si>
  <si>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</si>
  <si>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</si>
  <si>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</si>
  <si>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</si>
  <si>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</si>
  <si>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</si>
  <si>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</si>
  <si>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</si>
  <si>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</si>
  <si>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</si>
  <si>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</si>
  <si>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</si>
  <si>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</si>
  <si>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</si>
  <si>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</si>
  <si>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</si>
  <si>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</si>
  <si>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</si>
  <si>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</si>
  <si>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</si>
  <si>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</si>
  <si>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</si>
  <si>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</si>
  <si>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</si>
  <si>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</si>
  <si>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</si>
  <si>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</si>
  <si>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</si>
  <si>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</si>
  <si>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</si>
  <si>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</si>
  <si>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</si>
  <si>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</si>
  <si>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</si>
  <si>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</si>
  <si>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</si>
  <si>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</si>
  <si>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</si>
  <si>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</si>
  <si>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</si>
  <si>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</si>
  <si>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</si>
  <si>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</si>
  <si>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</si>
  <si>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</si>
  <si>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</si>
  <si>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</si>
  <si>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</si>
  <si>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</si>
  <si>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</si>
  <si>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</si>
  <si>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</si>
  <si>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</si>
  <si>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</si>
  <si>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</si>
  <si>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</si>
  <si>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</si>
  <si>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</si>
  <si>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</si>
  <si>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</si>
  <si>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</si>
  <si>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Days to Deliver</t>
  </si>
  <si>
    <t>Average of Rating C</t>
  </si>
  <si>
    <t>Values For Display</t>
  </si>
  <si>
    <t>Qty.</t>
  </si>
  <si>
    <t>Avg. Days</t>
  </si>
  <si>
    <t>For Trends</t>
  </si>
  <si>
    <t>Row Labels</t>
  </si>
  <si>
    <t>Grand Total</t>
  </si>
  <si>
    <t>Column Labels</t>
  </si>
  <si>
    <t>Female</t>
  </si>
  <si>
    <t>Male</t>
  </si>
  <si>
    <t>Other</t>
  </si>
  <si>
    <t>Unknown</t>
  </si>
  <si>
    <t>For Matrix</t>
  </si>
  <si>
    <t>6 to 10</t>
  </si>
  <si>
    <t>Above 10</t>
  </si>
  <si>
    <t>Shipment Duration Analysis</t>
  </si>
  <si>
    <t>Customer Satisfaction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</si>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</sst>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5C]#,##0"/>
    <numFmt numFmtId="165"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10">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
      <patternFill patternType="solid">
        <fgColor theme="0"/>
        <bgColor theme="4" tint="0.79998168889431442"/>
      </patternFill>
    </fill>
  </fills>
  <borders count="4">
    <border>
      <left/>
      <right/>
      <top/>
      <bottom/>
      <diagonal/>
    </border>
    <border>
      <left/>
      <right/>
      <top/>
      <bottom style="thin">
        <color theme="4" tint="0.39997558519241921"/>
      </bottom>
      <diagonal/>
    </border>
    <border>
      <left style="thick">
        <color theme="0"/>
      </left>
      <right style="thick">
        <color theme="0"/>
      </right>
      <top style="thick">
        <color theme="0"/>
      </top>
      <bottom style="thick">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2"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0" fontId="1" fillId="8" borderId="1" xfId="0" applyFont="1" applyFill="1" applyBorder="1"/>
    <xf numFmtId="10" fontId="0" fillId="0" borderId="0" xfId="0" applyNumberFormat="1"/>
    <xf numFmtId="165" fontId="0" fillId="0" borderId="2" xfId="0" applyNumberFormat="1" applyBorder="1"/>
    <xf numFmtId="0" fontId="1" fillId="0" borderId="1" xfId="0" applyFont="1" applyBorder="1"/>
    <xf numFmtId="0" fontId="1" fillId="9" borderId="3" xfId="0" applyFont="1" applyFill="1" applyBorder="1"/>
    <xf numFmtId="0" fontId="0" fillId="0" borderId="3" xfId="0" applyBorder="1"/>
    <xf numFmtId="0" fontId="1" fillId="8" borderId="3" xfId="0" applyFont="1" applyFill="1" applyBorder="1"/>
    <xf numFmtId="0" fontId="0" fillId="0" borderId="0" xfId="0" applyBorder="1"/>
  </cellXfs>
  <cellStyles count="2">
    <cellStyle name="Hyperlink" xfId="1" builtinId="8"/>
    <cellStyle name="Normal" xfId="0" builtinId="0"/>
  </cellStyles>
  <dxfs count="12">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166" formatCode="d\-mmm\-yy"/>
    </dxf>
    <dxf>
      <numFmt numFmtId="166" formatCode="d\-mmm\-yy"/>
    </dxf>
    <dxf>
      <numFmt numFmtId="2" formatCode="0.00"/>
    </dxf>
    <dxf>
      <numFmt numFmtId="2" formatCode="0.00"/>
    </dxf>
    <dxf>
      <font>
        <color rgb="FFFFFFCC"/>
      </font>
    </dxf>
  </dxfs>
  <tableStyles count="1" defaultTableStyle="TableStyleMedium2" defaultPivotStyle="PivotStyleLight16">
    <tableStyle name="Slicer Style 1" pivot="0" table="0" count="1" xr9:uid="{8922BC2C-7383-409B-8CB5-E5A5519E2F79}">
      <tableStyleElement type="wholeTable" dxfId="11"/>
    </tableStyle>
  </tableStyles>
  <colors>
    <mruColors>
      <color rgb="FFCC9900"/>
      <color rgb="FFFFFFCC"/>
      <color rgb="FFB62C06"/>
      <color rgb="FF00517E"/>
      <color rgb="FFFF9900"/>
      <color rgb="FFBC0000"/>
      <color rgb="FFFFCC99"/>
      <color rgb="FF008000"/>
      <color rgb="FFBA780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2.xlsx]Pivots!Pvt. Trends</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Last</a:t>
            </a:r>
            <a:r>
              <a:rPr lang="en-IN" b="1" baseline="0">
                <a:solidFill>
                  <a:schemeClr val="tx1"/>
                </a:solidFill>
              </a:rPr>
              <a:t> 13 Weeks Trend - Qty. and Amount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rgbClr val="C00000"/>
            </a:solidFill>
            <a:round/>
          </a:ln>
          <a:effectLst/>
        </c:spPr>
        <c:marker>
          <c:symbol val="circle"/>
          <c:size val="5"/>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50000"/>
                <a:lumOff val="50000"/>
              </a:schemeClr>
            </a:solidFill>
            <a:round/>
          </a:ln>
          <a:effectLst/>
        </c:spPr>
        <c:marker>
          <c:symbol val="circle"/>
          <c:size val="5"/>
          <c:spPr>
            <a:solidFill>
              <a:schemeClr val="accent2"/>
            </a:solidFill>
            <a:ln w="9525">
              <a:solidFill>
                <a:schemeClr val="tx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circle"/>
          <c:size val="5"/>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50000"/>
                <a:lumOff val="50000"/>
              </a:schemeClr>
            </a:solidFill>
            <a:round/>
          </a:ln>
          <a:effectLst/>
        </c:spPr>
        <c:marker>
          <c:symbol val="circle"/>
          <c:size val="5"/>
          <c:spPr>
            <a:solidFill>
              <a:schemeClr val="accent2"/>
            </a:solidFill>
            <a:ln w="9525">
              <a:solidFill>
                <a:schemeClr val="tx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circle"/>
          <c:size val="5"/>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50000"/>
                <a:lumOff val="50000"/>
              </a:schemeClr>
            </a:solidFill>
            <a:round/>
          </a:ln>
          <a:effectLst/>
        </c:spPr>
        <c:marker>
          <c:symbol val="circle"/>
          <c:size val="5"/>
          <c:spPr>
            <a:solidFill>
              <a:schemeClr val="accent2"/>
            </a:solidFill>
            <a:ln w="9525">
              <a:solidFill>
                <a:schemeClr val="tx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Sum of Quantity</c:v>
                </c:pt>
              </c:strCache>
            </c:strRef>
          </c:tx>
          <c:spPr>
            <a:ln w="28575" cap="rnd">
              <a:solidFill>
                <a:srgbClr val="C00000"/>
              </a:solidFill>
              <a:round/>
            </a:ln>
            <a:effectLst/>
          </c:spPr>
          <c:marker>
            <c:symbol val="circle"/>
            <c:size val="5"/>
            <c:spPr>
              <a:solidFill>
                <a:schemeClr val="accent1"/>
              </a:solidFill>
              <a:ln w="9525">
                <a:solidFill>
                  <a:srgbClr val="C00000"/>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D444-4D8F-8996-C411A84BE78C}"/>
            </c:ext>
          </c:extLst>
        </c:ser>
        <c:dLbls>
          <c:showLegendKey val="0"/>
          <c:showVal val="0"/>
          <c:showCatName val="0"/>
          <c:showSerName val="0"/>
          <c:showPercent val="0"/>
          <c:showBubbleSize val="0"/>
        </c:dLbls>
        <c:marker val="1"/>
        <c:smooth val="0"/>
        <c:axId val="2049615792"/>
        <c:axId val="371470464"/>
      </c:lineChart>
      <c:lineChart>
        <c:grouping val="standard"/>
        <c:varyColors val="0"/>
        <c:ser>
          <c:idx val="1"/>
          <c:order val="1"/>
          <c:tx>
            <c:strRef>
              <c:f>Pivots!$C$9</c:f>
              <c:strCache>
                <c:ptCount val="1"/>
                <c:pt idx="0">
                  <c:v>Sum of Amount</c:v>
                </c:pt>
              </c:strCache>
            </c:strRef>
          </c:tx>
          <c:spPr>
            <a:ln w="28575" cap="rnd">
              <a:solidFill>
                <a:schemeClr val="tx2">
                  <a:lumMod val="50000"/>
                  <a:lumOff val="50000"/>
                </a:schemeClr>
              </a:solidFill>
              <a:round/>
            </a:ln>
            <a:effectLst/>
          </c:spPr>
          <c:marker>
            <c:symbol val="circle"/>
            <c:size val="5"/>
            <c:spPr>
              <a:solidFill>
                <a:schemeClr val="accent2"/>
              </a:solidFill>
              <a:ln w="9525">
                <a:solidFill>
                  <a:schemeClr val="tx2">
                    <a:lumMod val="50000"/>
                    <a:lumOff val="50000"/>
                  </a:schemeClr>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[$$-45C]#,##0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D444-4D8F-8996-C411A84BE78C}"/>
            </c:ext>
          </c:extLst>
        </c:ser>
        <c:dLbls>
          <c:showLegendKey val="0"/>
          <c:showVal val="0"/>
          <c:showCatName val="0"/>
          <c:showSerName val="0"/>
          <c:showPercent val="0"/>
          <c:showBubbleSize val="0"/>
        </c:dLbls>
        <c:marker val="1"/>
        <c:smooth val="0"/>
        <c:axId val="426402304"/>
        <c:axId val="426404704"/>
      </c:lineChart>
      <c:catAx>
        <c:axId val="2049615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470464"/>
        <c:crosses val="autoZero"/>
        <c:auto val="1"/>
        <c:lblAlgn val="ctr"/>
        <c:lblOffset val="100"/>
        <c:noMultiLvlLbl val="0"/>
      </c:catAx>
      <c:valAx>
        <c:axId val="37147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15792"/>
        <c:crosses val="autoZero"/>
        <c:crossBetween val="between"/>
      </c:valAx>
      <c:valAx>
        <c:axId val="426404704"/>
        <c:scaling>
          <c:orientation val="minMax"/>
        </c:scaling>
        <c:delete val="0"/>
        <c:axPos val="r"/>
        <c:numFmt formatCode="[$$-45C]#,##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02304"/>
        <c:crosses val="max"/>
        <c:crossBetween val="between"/>
      </c:valAx>
      <c:catAx>
        <c:axId val="42640230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0470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2.xlsx]Pivots!Pvt.Qty</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r>
              <a:rPr lang="en-US" sz="1400" b="1" i="0" u="none" strike="noStrike" kern="1200" spc="0" baseline="0">
                <a:solidFill>
                  <a:schemeClr val="tx1"/>
                </a:solidFill>
              </a:rPr>
              <a:t>How many they buy?</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tx1"/>
                </a:solidFill>
              </a:defRPr>
            </a:pPr>
            <a:endParaRPr lang="en-IN">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Pivots!$B$31</c:f>
              <c:strCache>
                <c:ptCount val="1"/>
                <c:pt idx="0">
                  <c:v>Total</c:v>
                </c:pt>
              </c:strCache>
            </c:strRef>
          </c:tx>
          <c:spPr>
            <a:solidFill>
              <a:schemeClr val="tx2">
                <a:lumMod val="75000"/>
                <a:lumOff val="25000"/>
              </a:schemeClr>
            </a:solidFill>
            <a:ln w="127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Pivots!$A$32:$A$39</c:f>
              <c:strCache>
                <c:ptCount val="7"/>
                <c:pt idx="0">
                  <c:v>1</c:v>
                </c:pt>
                <c:pt idx="1">
                  <c:v>2</c:v>
                </c:pt>
                <c:pt idx="2">
                  <c:v>3</c:v>
                </c:pt>
                <c:pt idx="3">
                  <c:v>4</c:v>
                </c:pt>
                <c:pt idx="4">
                  <c:v>5</c:v>
                </c:pt>
                <c:pt idx="5">
                  <c:v>6 to 10</c:v>
                </c:pt>
                <c:pt idx="6">
                  <c:v>Above 10</c:v>
                </c:pt>
              </c:strCache>
            </c:strRef>
          </c:cat>
          <c:val>
            <c:numRef>
              <c:f>Pivots!$B$32:$B$39</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BF0A-4F7C-A77B-D4E2D5ADAD53}"/>
            </c:ext>
          </c:extLst>
        </c:ser>
        <c:dLbls>
          <c:dLblPos val="outEnd"/>
          <c:showLegendKey val="0"/>
          <c:showVal val="1"/>
          <c:showCatName val="0"/>
          <c:showSerName val="0"/>
          <c:showPercent val="0"/>
          <c:showBubbleSize val="0"/>
        </c:dLbls>
        <c:gapWidth val="0"/>
        <c:overlap val="-27"/>
        <c:axId val="1179894752"/>
        <c:axId val="1179895712"/>
      </c:barChart>
      <c:catAx>
        <c:axId val="117989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95712"/>
        <c:crosses val="autoZero"/>
        <c:auto val="1"/>
        <c:lblAlgn val="ctr"/>
        <c:lblOffset val="100"/>
        <c:noMultiLvlLbl val="0"/>
      </c:catAx>
      <c:valAx>
        <c:axId val="1179895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9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2.xlsx]Pivots!Pvt.Products</c:name>
    <c:fmtId val="9"/>
  </c:pivotSource>
  <c:chart>
    <c:autoTitleDeleted val="1"/>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62C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62C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41061119106772E-2"/>
          <c:y val="0.16492081575177364"/>
          <c:w val="0.66218708520098257"/>
          <c:h val="0.80092654615862269"/>
        </c:manualLayout>
      </c:layout>
      <c:barChart>
        <c:barDir val="bar"/>
        <c:grouping val="stacked"/>
        <c:varyColors val="0"/>
        <c:ser>
          <c:idx val="0"/>
          <c:order val="0"/>
          <c:tx>
            <c:strRef>
              <c:f>Pivots!$B$43:$B$44</c:f>
              <c:strCache>
                <c:ptCount val="1"/>
                <c:pt idx="0">
                  <c:v>Female</c:v>
                </c:pt>
              </c:strCache>
            </c:strRef>
          </c:tx>
          <c:spPr>
            <a:solidFill>
              <a:schemeClr val="tx2">
                <a:lumMod val="75000"/>
                <a:lumOff val="25000"/>
              </a:schemeClr>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Pivots!$B$45:$B$65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DD54-41FA-8F90-37C393F71105}"/>
            </c:ext>
          </c:extLst>
        </c:ser>
        <c:ser>
          <c:idx val="1"/>
          <c:order val="1"/>
          <c:tx>
            <c:strRef>
              <c:f>Pivots!$C$43:$C$44</c:f>
              <c:strCache>
                <c:ptCount val="1"/>
                <c:pt idx="0">
                  <c:v>Male</c:v>
                </c:pt>
              </c:strCache>
            </c:strRef>
          </c:tx>
          <c:spPr>
            <a:solidFill>
              <a:srgbClr val="FF9900"/>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Pivots!$C$45:$C$65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DD54-41FA-8F90-37C393F71105}"/>
            </c:ext>
          </c:extLst>
        </c:ser>
        <c:ser>
          <c:idx val="2"/>
          <c:order val="2"/>
          <c:tx>
            <c:strRef>
              <c:f>Pivots!$D$43:$D$44</c:f>
              <c:strCache>
                <c:ptCount val="1"/>
                <c:pt idx="0">
                  <c:v>Other</c:v>
                </c:pt>
              </c:strCache>
            </c:strRef>
          </c:tx>
          <c:spPr>
            <a:solidFill>
              <a:srgbClr val="008000"/>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Pivots!$D$45:$D$65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DD54-41FA-8F90-37C393F71105}"/>
            </c:ext>
          </c:extLst>
        </c:ser>
        <c:ser>
          <c:idx val="3"/>
          <c:order val="3"/>
          <c:tx>
            <c:strRef>
              <c:f>Pivots!$E$43:$E$44</c:f>
              <c:strCache>
                <c:ptCount val="1"/>
                <c:pt idx="0">
                  <c:v>Unknown</c:v>
                </c:pt>
              </c:strCache>
            </c:strRef>
          </c:tx>
          <c:spPr>
            <a:solidFill>
              <a:srgbClr val="FFFF00"/>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Pivots!$E$45:$E$65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DD54-41FA-8F90-37C393F71105}"/>
            </c:ext>
          </c:extLst>
        </c:ser>
        <c:dLbls>
          <c:showLegendKey val="0"/>
          <c:showVal val="0"/>
          <c:showCatName val="0"/>
          <c:showSerName val="0"/>
          <c:showPercent val="0"/>
          <c:showBubbleSize val="0"/>
        </c:dLbls>
        <c:gapWidth val="19"/>
        <c:overlap val="100"/>
        <c:axId val="1402346656"/>
        <c:axId val="1110569104"/>
      </c:barChart>
      <c:catAx>
        <c:axId val="1402346656"/>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0569104"/>
        <c:crosses val="autoZero"/>
        <c:auto val="1"/>
        <c:lblAlgn val="ctr"/>
        <c:lblOffset val="100"/>
        <c:noMultiLvlLbl val="0"/>
      </c:catAx>
      <c:valAx>
        <c:axId val="111056910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234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2.xlsx]Pivots!Pvt.Gender</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FF9900"/>
          </a:solidFill>
          <a:ln w="19050">
            <a:solidFill>
              <a:schemeClr val="lt1"/>
            </a:solidFill>
          </a:ln>
          <a:effectLst/>
        </c:spPr>
        <c:dLbl>
          <c:idx val="0"/>
          <c:layout>
            <c:manualLayout>
              <c:x val="-8.1206496519721574E-2"/>
              <c:y val="0.16175621028307338"/>
            </c:manualLayout>
          </c:layout>
          <c:tx>
            <c:rich>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0D7D9A-349D-44AC-9A91-FF0B92BBC749}"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D443674D-DCA7-4A07-A2A1-E54E211D3165}"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
        <c:spPr>
          <a:solidFill>
            <a:srgbClr val="00517E"/>
          </a:solidFill>
          <a:ln w="19050">
            <a:solidFill>
              <a:schemeClr val="lt1"/>
            </a:solidFill>
          </a:ln>
          <a:effectLst/>
        </c:spPr>
        <c:dLbl>
          <c:idx val="0"/>
          <c:layout>
            <c:manualLayout>
              <c:x val="3.4802784222737887E-2"/>
              <c:y val="0.31195840554592719"/>
            </c:manualLayout>
          </c:layout>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FFFF00"/>
          </a:solidFill>
          <a:ln w="19050">
            <a:solidFill>
              <a:schemeClr val="lt1"/>
            </a:solidFill>
          </a:ln>
          <a:effectLst/>
        </c:spPr>
        <c:dLbl>
          <c:idx val="0"/>
          <c:layout>
            <c:manualLayout>
              <c:x val="0.22041763341067278"/>
              <c:y val="-7.2061572892643186E-2"/>
            </c:manualLayout>
          </c:layout>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008000"/>
          </a:solidFill>
          <a:ln w="19050">
            <a:solidFill>
              <a:schemeClr val="lt1"/>
            </a:solidFill>
          </a:ln>
          <a:effectLst/>
        </c:spPr>
        <c:dLbl>
          <c:idx val="0"/>
          <c:layout>
            <c:manualLayout>
              <c:x val="-0.1392111368909513"/>
              <c:y val="-4.0439052570768366E-2"/>
            </c:manualLayout>
          </c:layout>
          <c:tx>
            <c:rich>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8E7BF6-C9C6-46FC-8700-3837FEA2A2F9}"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5DB2589A-433A-4950-934F-44ED3E4BFA8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00517E"/>
          </a:solidFill>
          <a:ln w="19050">
            <a:solidFill>
              <a:schemeClr val="lt1"/>
            </a:solidFill>
          </a:ln>
          <a:effectLst/>
        </c:spPr>
        <c:dLbl>
          <c:idx val="0"/>
          <c:layout>
            <c:manualLayout>
              <c:x val="3.4802784222737887E-2"/>
              <c:y val="0.31195840554592719"/>
            </c:manualLayout>
          </c:layout>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FF9900"/>
          </a:solidFill>
          <a:ln w="19050">
            <a:solidFill>
              <a:schemeClr val="lt1"/>
            </a:solidFill>
          </a:ln>
          <a:effectLst/>
        </c:spPr>
        <c:dLbl>
          <c:idx val="0"/>
          <c:layout>
            <c:manualLayout>
              <c:x val="-8.1206496519721574E-2"/>
              <c:y val="0.16175621028307338"/>
            </c:manualLayout>
          </c:layout>
          <c:tx>
            <c:rich>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0D7D9A-349D-44AC-9A91-FF0B92BBC749}"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D443674D-DCA7-4A07-A2A1-E54E211D3165}"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8"/>
        <c:spPr>
          <a:solidFill>
            <a:srgbClr val="008000"/>
          </a:solidFill>
          <a:ln w="19050">
            <a:solidFill>
              <a:schemeClr val="lt1"/>
            </a:solidFill>
          </a:ln>
          <a:effectLst/>
        </c:spPr>
        <c:dLbl>
          <c:idx val="0"/>
          <c:layout>
            <c:manualLayout>
              <c:x val="-0.1392111368909513"/>
              <c:y val="-4.0439052570768366E-2"/>
            </c:manualLayout>
          </c:layout>
          <c:tx>
            <c:rich>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8E7BF6-C9C6-46FC-8700-3837FEA2A2F9}"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5DB2589A-433A-4950-934F-44ED3E4BFA8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9"/>
        <c:spPr>
          <a:solidFill>
            <a:srgbClr val="FFFF00"/>
          </a:solidFill>
          <a:ln w="19050">
            <a:solidFill>
              <a:schemeClr val="lt1"/>
            </a:solidFill>
          </a:ln>
          <a:effectLst/>
        </c:spPr>
        <c:dLbl>
          <c:idx val="0"/>
          <c:layout>
            <c:manualLayout>
              <c:x val="0.22041763341067278"/>
              <c:y val="-7.2061572892643186E-2"/>
            </c:manualLayout>
          </c:layout>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00517E"/>
          </a:solidFill>
          <a:ln w="19050">
            <a:solidFill>
              <a:schemeClr val="lt1"/>
            </a:solidFill>
          </a:ln>
          <a:effectLst/>
        </c:spPr>
        <c:dLbl>
          <c:idx val="0"/>
          <c:layout>
            <c:manualLayout>
              <c:x val="3.4839522206636171E-2"/>
              <c:y val="0.33289665128333362"/>
            </c:manualLayout>
          </c:layout>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8838686673599754"/>
                  <c:h val="0.29184982919599645"/>
                </c:manualLayout>
              </c15:layout>
            </c:ext>
          </c:extLst>
        </c:dLbl>
      </c:pivotFmt>
      <c:pivotFmt>
        <c:idx val="12"/>
        <c:spPr>
          <a:solidFill>
            <a:srgbClr val="FF9900"/>
          </a:solidFill>
          <a:ln w="19050">
            <a:solidFill>
              <a:schemeClr val="lt1"/>
            </a:solidFill>
          </a:ln>
          <a:effectLst/>
        </c:spPr>
        <c:dLbl>
          <c:idx val="0"/>
          <c:layout>
            <c:manualLayout>
              <c:x val="1.3047062806506768E-2"/>
              <c:y val="0.30041721580475172"/>
            </c:manualLayout>
          </c:layout>
          <c:tx>
            <c:rich>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0D7D9A-349D-44AC-9A91-FF0B92BBC749}" type="CATEGORYNAME">
                  <a:rPr lang="en-US"/>
                  <a:pPr>
                    <a:defRPr>
                      <a:solidFill>
                        <a:schemeClr val="tx1">
                          <a:lumMod val="75000"/>
                          <a:lumOff val="25000"/>
                        </a:schemeClr>
                      </a:solidFill>
                    </a:defRPr>
                  </a:pPr>
                  <a:t>[CATEGORY NAME]</a:t>
                </a:fld>
                <a:r>
                  <a:rPr lang="en-US" baseline="0"/>
                  <a:t>,</a:t>
                </a:r>
              </a:p>
              <a:p>
                <a:pPr>
                  <a:defRPr>
                    <a:solidFill>
                      <a:schemeClr val="tx1">
                        <a:lumMod val="75000"/>
                        <a:lumOff val="25000"/>
                      </a:schemeClr>
                    </a:solidFill>
                  </a:defRPr>
                </a:pPr>
                <a:r>
                  <a:rPr lang="en-US" baseline="0"/>
                  <a:t> </a:t>
                </a:r>
                <a:fld id="{D443674D-DCA7-4A07-A2A1-E54E211D3165}" type="VALUE">
                  <a:rPr lang="en-US" baseline="0"/>
                  <a:pPr>
                    <a:defRPr>
                      <a:solidFill>
                        <a:schemeClr val="tx1">
                          <a:lumMod val="75000"/>
                          <a:lumOff val="25000"/>
                        </a:schemeClr>
                      </a:solidFill>
                    </a:defRPr>
                  </a:pPr>
                  <a:t>[VALUE]</a:t>
                </a:fld>
                <a:endParaRPr lang="en-US" baseline="0"/>
              </a:p>
            </c:rich>
          </c:tx>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3"/>
        <c:spPr>
          <a:solidFill>
            <a:srgbClr val="008000"/>
          </a:solidFill>
          <a:ln w="19050">
            <a:solidFill>
              <a:schemeClr val="lt1"/>
            </a:solidFill>
          </a:ln>
          <a:effectLst/>
        </c:spPr>
        <c:dLbl>
          <c:idx val="0"/>
          <c:layout>
            <c:manualLayout>
              <c:x val="-0.24986048717877174"/>
              <c:y val="-2.7018636187964625E-2"/>
            </c:manualLayout>
          </c:layout>
          <c:tx>
            <c:rich>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8E7BF6-C9C6-46FC-8700-3837FEA2A2F9}" type="CATEGORYNAME">
                  <a:rPr lang="en-US"/>
                  <a:pPr>
                    <a:defRPr>
                      <a:solidFill>
                        <a:schemeClr val="tx1">
                          <a:lumMod val="75000"/>
                          <a:lumOff val="25000"/>
                        </a:schemeClr>
                      </a:solidFill>
                    </a:defRPr>
                  </a:pPr>
                  <a:t>[CATEGORY NAME]</a:t>
                </a:fld>
                <a:r>
                  <a:rPr lang="en-US" baseline="0"/>
                  <a:t>,</a:t>
                </a:r>
              </a:p>
              <a:p>
                <a:pPr>
                  <a:defRPr>
                    <a:solidFill>
                      <a:schemeClr val="tx1">
                        <a:lumMod val="75000"/>
                        <a:lumOff val="25000"/>
                      </a:schemeClr>
                    </a:solidFill>
                  </a:defRPr>
                </a:pPr>
                <a:r>
                  <a:rPr lang="en-US" baseline="0"/>
                  <a:t> </a:t>
                </a:r>
                <a:fld id="{5DB2589A-433A-4950-934F-44ED3E4BFA83}" type="VALUE">
                  <a:rPr lang="en-US" baseline="0"/>
                  <a:pPr>
                    <a:defRPr>
                      <a:solidFill>
                        <a:schemeClr val="tx1">
                          <a:lumMod val="75000"/>
                          <a:lumOff val="25000"/>
                        </a:schemeClr>
                      </a:solidFill>
                    </a:defRPr>
                  </a:pPr>
                  <a:t>[VALUE]</a:t>
                </a:fld>
                <a:endParaRPr lang="en-US" baseline="0"/>
              </a:p>
            </c:rich>
          </c:tx>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4"/>
        <c:spPr>
          <a:solidFill>
            <a:srgbClr val="FFFF00"/>
          </a:solidFill>
          <a:ln w="19050">
            <a:solidFill>
              <a:schemeClr val="lt1"/>
            </a:solidFill>
          </a:ln>
          <a:effectLst/>
        </c:spPr>
        <c:dLbl>
          <c:idx val="0"/>
          <c:layout>
            <c:manualLayout>
              <c:x val="0.29343759211311465"/>
              <c:y val="-5.4289531933101293E-2"/>
            </c:manualLayout>
          </c:layout>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40784734411251483"/>
                  <c:h val="0.29184982919599645"/>
                </c:manualLayout>
              </c15:layout>
            </c:ext>
          </c:extLst>
        </c:dLbl>
      </c:pivotFmt>
    </c:pivotFmts>
    <c:plotArea>
      <c:layout/>
      <c:doughnutChart>
        <c:varyColors val="1"/>
        <c:ser>
          <c:idx val="0"/>
          <c:order val="0"/>
          <c:tx>
            <c:strRef>
              <c:f>Pivots!$M$43</c:f>
              <c:strCache>
                <c:ptCount val="1"/>
                <c:pt idx="0">
                  <c:v>Total</c:v>
                </c:pt>
              </c:strCache>
            </c:strRef>
          </c:tx>
          <c:dPt>
            <c:idx val="0"/>
            <c:bubble3D val="0"/>
            <c:spPr>
              <a:solidFill>
                <a:srgbClr val="00517E"/>
              </a:solidFill>
              <a:ln w="19050">
                <a:solidFill>
                  <a:schemeClr val="lt1"/>
                </a:solidFill>
              </a:ln>
              <a:effectLst/>
            </c:spPr>
            <c:extLst>
              <c:ext xmlns:c16="http://schemas.microsoft.com/office/drawing/2014/chart" uri="{C3380CC4-5D6E-409C-BE32-E72D297353CC}">
                <c16:uniqueId val="{00000001-80B2-4678-BAC4-9F0BCBA5EA67}"/>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3-80B2-4678-BAC4-9F0BCBA5EA67}"/>
              </c:ext>
            </c:extLst>
          </c:dPt>
          <c:dPt>
            <c:idx val="2"/>
            <c:bubble3D val="0"/>
            <c:spPr>
              <a:solidFill>
                <a:srgbClr val="008000"/>
              </a:solidFill>
              <a:ln w="19050">
                <a:solidFill>
                  <a:schemeClr val="lt1"/>
                </a:solidFill>
              </a:ln>
              <a:effectLst/>
            </c:spPr>
            <c:extLst>
              <c:ext xmlns:c16="http://schemas.microsoft.com/office/drawing/2014/chart" uri="{C3380CC4-5D6E-409C-BE32-E72D297353CC}">
                <c16:uniqueId val="{00000005-80B2-4678-BAC4-9F0BCBA5EA67}"/>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80B2-4678-BAC4-9F0BCBA5EA67}"/>
              </c:ext>
            </c:extLst>
          </c:dPt>
          <c:dLbls>
            <c:dLbl>
              <c:idx val="0"/>
              <c:layout>
                <c:manualLayout>
                  <c:x val="3.4839522206636171E-2"/>
                  <c:y val="0.33289665128333362"/>
                </c:manualLayout>
              </c:layout>
              <c:showLegendKey val="0"/>
              <c:showVal val="1"/>
              <c:showCatName val="1"/>
              <c:showSerName val="0"/>
              <c:showPercent val="0"/>
              <c:showBubbleSize val="0"/>
              <c:extLst>
                <c:ext xmlns:c15="http://schemas.microsoft.com/office/drawing/2012/chart" uri="{CE6537A1-D6FC-4f65-9D91-7224C49458BB}">
                  <c15:layout>
                    <c:manualLayout>
                      <c:w val="0.38838686673599754"/>
                      <c:h val="0.29184982919599645"/>
                    </c:manualLayout>
                  </c15:layout>
                </c:ext>
                <c:ext xmlns:c16="http://schemas.microsoft.com/office/drawing/2014/chart" uri="{C3380CC4-5D6E-409C-BE32-E72D297353CC}">
                  <c16:uniqueId val="{00000001-80B2-4678-BAC4-9F0BCBA5EA67}"/>
                </c:ext>
              </c:extLst>
            </c:dLbl>
            <c:dLbl>
              <c:idx val="1"/>
              <c:layout>
                <c:manualLayout>
                  <c:x val="1.3047062806506768E-2"/>
                  <c:y val="0.30041721580475172"/>
                </c:manualLayout>
              </c:layout>
              <c:tx>
                <c:rich>
                  <a:bodyPr/>
                  <a:lstStyle/>
                  <a:p>
                    <a:fld id="{690D7D9A-349D-44AC-9A91-FF0B92BBC749}" type="CATEGORYNAME">
                      <a:rPr lang="en-US"/>
                      <a:pPr/>
                      <a:t>[CATEGORY NAME]</a:t>
                    </a:fld>
                    <a:r>
                      <a:rPr lang="en-US" baseline="0"/>
                      <a:t>,</a:t>
                    </a:r>
                  </a:p>
                  <a:p>
                    <a:r>
                      <a:rPr lang="en-US" baseline="0"/>
                      <a:t> </a:t>
                    </a:r>
                    <a:fld id="{D443674D-DCA7-4A07-A2A1-E54E211D3165}"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0B2-4678-BAC4-9F0BCBA5EA67}"/>
                </c:ext>
              </c:extLst>
            </c:dLbl>
            <c:dLbl>
              <c:idx val="2"/>
              <c:layout>
                <c:manualLayout>
                  <c:x val="-0.24986048717877174"/>
                  <c:y val="-2.7018636187964625E-2"/>
                </c:manualLayout>
              </c:layout>
              <c:tx>
                <c:rich>
                  <a:bodyPr/>
                  <a:lstStyle/>
                  <a:p>
                    <a:fld id="{FC8E7BF6-C9C6-46FC-8700-3837FEA2A2F9}" type="CATEGORYNAME">
                      <a:rPr lang="en-US"/>
                      <a:pPr/>
                      <a:t>[CATEGORY NAME]</a:t>
                    </a:fld>
                    <a:r>
                      <a:rPr lang="en-US" baseline="0"/>
                      <a:t>,</a:t>
                    </a:r>
                  </a:p>
                  <a:p>
                    <a:r>
                      <a:rPr lang="en-US" baseline="0"/>
                      <a:t> </a:t>
                    </a:r>
                    <a:fld id="{5DB2589A-433A-4950-934F-44ED3E4BFA8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0B2-4678-BAC4-9F0BCBA5EA67}"/>
                </c:ext>
              </c:extLst>
            </c:dLbl>
            <c:dLbl>
              <c:idx val="3"/>
              <c:layout>
                <c:manualLayout>
                  <c:x val="0.29343759211311465"/>
                  <c:y val="-5.4289531933101293E-2"/>
                </c:manualLayout>
              </c:layout>
              <c:showLegendKey val="0"/>
              <c:showVal val="1"/>
              <c:showCatName val="1"/>
              <c:showSerName val="0"/>
              <c:showPercent val="0"/>
              <c:showBubbleSize val="0"/>
              <c:extLst>
                <c:ext xmlns:c15="http://schemas.microsoft.com/office/drawing/2012/chart" uri="{CE6537A1-D6FC-4f65-9D91-7224C49458BB}">
                  <c15:layout>
                    <c:manualLayout>
                      <c:w val="0.40784734411251483"/>
                      <c:h val="0.29184982919599645"/>
                    </c:manualLayout>
                  </c15:layout>
                </c:ext>
                <c:ext xmlns:c16="http://schemas.microsoft.com/office/drawing/2014/chart" uri="{C3380CC4-5D6E-409C-BE32-E72D297353CC}">
                  <c16:uniqueId val="{00000007-80B2-4678-BAC4-9F0BCBA5EA67}"/>
                </c:ext>
              </c:extLst>
            </c:dLbl>
            <c:spPr>
              <a:noFill/>
              <a:ln>
                <a:noFill/>
              </a:ln>
              <a:effectLst/>
            </c:spPr>
            <c:txPr>
              <a:bodyPr rot="0" spcFirstLastPara="1" vertOverflow="ellipsis" horzOverflow="clip"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Pivots!$L$44:$L$48</c:f>
              <c:strCache>
                <c:ptCount val="4"/>
                <c:pt idx="0">
                  <c:v>Female</c:v>
                </c:pt>
                <c:pt idx="1">
                  <c:v>Male</c:v>
                </c:pt>
                <c:pt idx="2">
                  <c:v>Other</c:v>
                </c:pt>
                <c:pt idx="3">
                  <c:v>Unknown</c:v>
                </c:pt>
              </c:strCache>
            </c:strRef>
          </c:cat>
          <c:val>
            <c:numRef>
              <c:f>Pivots!$M$44:$M$48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80B2-4678-BAC4-9F0BCBA5EA6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2.xlsx]Sheet2!Pvt.Duration</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How</a:t>
            </a:r>
            <a:r>
              <a:rPr lang="en-US" b="1" baseline="0">
                <a:solidFill>
                  <a:schemeClr val="tx1"/>
                </a:solidFill>
              </a:rPr>
              <a:t> long we take to ship?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517E"/>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517E"/>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517E"/>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c:f>
              <c:strCache>
                <c:ptCount val="1"/>
                <c:pt idx="0">
                  <c:v>Total</c:v>
                </c:pt>
              </c:strCache>
            </c:strRef>
          </c:tx>
          <c:spPr>
            <a:solidFill>
              <a:srgbClr val="00517E"/>
            </a:solidFill>
            <a:ln>
              <a:solidFill>
                <a:schemeClr val="bg1"/>
              </a:solidFill>
            </a:ln>
            <a:effectLst/>
          </c:spPr>
          <c:invertIfNegative val="0"/>
          <c:cat>
            <c:strRef>
              <c:f>Sheet2!$A$6:$A$21</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Sheet2!$B$6:$B$21</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830B-44F4-B7D0-3350E9215565}"/>
            </c:ext>
          </c:extLst>
        </c:ser>
        <c:dLbls>
          <c:showLegendKey val="0"/>
          <c:showVal val="0"/>
          <c:showCatName val="0"/>
          <c:showSerName val="0"/>
          <c:showPercent val="0"/>
          <c:showBubbleSize val="0"/>
        </c:dLbls>
        <c:gapWidth val="0"/>
        <c:overlap val="-27"/>
        <c:axId val="1131172496"/>
        <c:axId val="1131159056"/>
      </c:barChart>
      <c:catAx>
        <c:axId val="113117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159056"/>
        <c:crosses val="autoZero"/>
        <c:auto val="1"/>
        <c:lblAlgn val="ctr"/>
        <c:lblOffset val="100"/>
        <c:noMultiLvlLbl val="0"/>
      </c:catAx>
      <c:valAx>
        <c:axId val="113115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17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 2.xlsx]Pivots!Pvt.Rating</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How</a:t>
            </a:r>
            <a:r>
              <a:rPr lang="en-IN" b="1" baseline="0">
                <a:solidFill>
                  <a:schemeClr val="tx1"/>
                </a:solidFill>
              </a:rPr>
              <a:t> satisified are our Customers?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62C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51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62C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51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B62C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51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Pivots!$K$12:$K$13</c:f>
              <c:strCache>
                <c:ptCount val="1"/>
                <c:pt idx="0">
                  <c:v>1</c:v>
                </c:pt>
              </c:strCache>
            </c:strRef>
          </c:tx>
          <c:spPr>
            <a:solidFill>
              <a:schemeClr val="accent1"/>
            </a:solidFill>
            <a:ln>
              <a:noFill/>
            </a:ln>
            <a:effectLst/>
          </c:spPr>
          <c:invertIfNegative val="0"/>
          <c:cat>
            <c:strRef>
              <c:f>Pivots!$J$14:$J$17</c:f>
              <c:strCache>
                <c:ptCount val="3"/>
                <c:pt idx="0">
                  <c:v>Jan</c:v>
                </c:pt>
                <c:pt idx="1">
                  <c:v>Feb</c:v>
                </c:pt>
                <c:pt idx="2">
                  <c:v>Mar</c:v>
                </c:pt>
              </c:strCache>
            </c:strRef>
          </c:cat>
          <c:val>
            <c:numRef>
              <c:f>Pivots!$K$14:$K$17</c:f>
              <c:numCache>
                <c:formatCode>General</c:formatCode>
                <c:ptCount val="3"/>
                <c:pt idx="0">
                  <c:v>7</c:v>
                </c:pt>
                <c:pt idx="1">
                  <c:v>8</c:v>
                </c:pt>
                <c:pt idx="2">
                  <c:v>6</c:v>
                </c:pt>
              </c:numCache>
            </c:numRef>
          </c:val>
          <c:extLst>
            <c:ext xmlns:c16="http://schemas.microsoft.com/office/drawing/2014/chart" uri="{C3380CC4-5D6E-409C-BE32-E72D297353CC}">
              <c16:uniqueId val="{00000000-80A4-485A-A07F-6E7C860DD699}"/>
            </c:ext>
          </c:extLst>
        </c:ser>
        <c:ser>
          <c:idx val="1"/>
          <c:order val="1"/>
          <c:tx>
            <c:strRef>
              <c:f>Pivots!$L$12:$L$13</c:f>
              <c:strCache>
                <c:ptCount val="1"/>
                <c:pt idx="0">
                  <c:v>2</c:v>
                </c:pt>
              </c:strCache>
            </c:strRef>
          </c:tx>
          <c:spPr>
            <a:solidFill>
              <a:schemeClr val="accent2"/>
            </a:solidFill>
            <a:ln>
              <a:noFill/>
            </a:ln>
            <a:effectLst/>
          </c:spPr>
          <c:invertIfNegative val="0"/>
          <c:cat>
            <c:strRef>
              <c:f>Pivots!$J$14:$J$17</c:f>
              <c:strCache>
                <c:ptCount val="3"/>
                <c:pt idx="0">
                  <c:v>Jan</c:v>
                </c:pt>
                <c:pt idx="1">
                  <c:v>Feb</c:v>
                </c:pt>
                <c:pt idx="2">
                  <c:v>Mar</c:v>
                </c:pt>
              </c:strCache>
            </c:strRef>
          </c:cat>
          <c:val>
            <c:numRef>
              <c:f>Pivots!$L$14:$L$17</c:f>
              <c:numCache>
                <c:formatCode>General</c:formatCode>
                <c:ptCount val="3"/>
                <c:pt idx="0">
                  <c:v>37</c:v>
                </c:pt>
                <c:pt idx="1">
                  <c:v>51</c:v>
                </c:pt>
                <c:pt idx="2">
                  <c:v>39</c:v>
                </c:pt>
              </c:numCache>
            </c:numRef>
          </c:val>
          <c:extLst>
            <c:ext xmlns:c16="http://schemas.microsoft.com/office/drawing/2014/chart" uri="{C3380CC4-5D6E-409C-BE32-E72D297353CC}">
              <c16:uniqueId val="{00000001-80A4-485A-A07F-6E7C860DD699}"/>
            </c:ext>
          </c:extLst>
        </c:ser>
        <c:ser>
          <c:idx val="2"/>
          <c:order val="2"/>
          <c:tx>
            <c:strRef>
              <c:f>Pivots!$M$12:$M$13</c:f>
              <c:strCache>
                <c:ptCount val="1"/>
                <c:pt idx="0">
                  <c:v>3</c:v>
                </c:pt>
              </c:strCache>
            </c:strRef>
          </c:tx>
          <c:spPr>
            <a:solidFill>
              <a:srgbClr val="B62C06"/>
            </a:solidFill>
            <a:ln>
              <a:noFill/>
            </a:ln>
            <a:effectLst/>
          </c:spPr>
          <c:invertIfNegative val="0"/>
          <c:cat>
            <c:strRef>
              <c:f>Pivots!$J$14:$J$17</c:f>
              <c:strCache>
                <c:ptCount val="3"/>
                <c:pt idx="0">
                  <c:v>Jan</c:v>
                </c:pt>
                <c:pt idx="1">
                  <c:v>Feb</c:v>
                </c:pt>
                <c:pt idx="2">
                  <c:v>Mar</c:v>
                </c:pt>
              </c:strCache>
            </c:strRef>
          </c:cat>
          <c:val>
            <c:numRef>
              <c:f>Pivots!$M$14:$M$17</c:f>
              <c:numCache>
                <c:formatCode>General</c:formatCode>
                <c:ptCount val="3"/>
                <c:pt idx="0">
                  <c:v>150</c:v>
                </c:pt>
                <c:pt idx="1">
                  <c:v>182</c:v>
                </c:pt>
                <c:pt idx="2">
                  <c:v>163</c:v>
                </c:pt>
              </c:numCache>
            </c:numRef>
          </c:val>
          <c:extLst>
            <c:ext xmlns:c16="http://schemas.microsoft.com/office/drawing/2014/chart" uri="{C3380CC4-5D6E-409C-BE32-E72D297353CC}">
              <c16:uniqueId val="{00000002-80A4-485A-A07F-6E7C860DD699}"/>
            </c:ext>
          </c:extLst>
        </c:ser>
        <c:ser>
          <c:idx val="3"/>
          <c:order val="3"/>
          <c:tx>
            <c:strRef>
              <c:f>Pivots!$N$12:$N$13</c:f>
              <c:strCache>
                <c:ptCount val="1"/>
                <c:pt idx="0">
                  <c:v>4</c:v>
                </c:pt>
              </c:strCache>
            </c:strRef>
          </c:tx>
          <c:spPr>
            <a:solidFill>
              <a:srgbClr val="FF9900"/>
            </a:solidFill>
            <a:ln>
              <a:noFill/>
            </a:ln>
            <a:effectLst/>
          </c:spPr>
          <c:invertIfNegative val="0"/>
          <c:cat>
            <c:strRef>
              <c:f>Pivots!$J$14:$J$17</c:f>
              <c:strCache>
                <c:ptCount val="3"/>
                <c:pt idx="0">
                  <c:v>Jan</c:v>
                </c:pt>
                <c:pt idx="1">
                  <c:v>Feb</c:v>
                </c:pt>
                <c:pt idx="2">
                  <c:v>Mar</c:v>
                </c:pt>
              </c:strCache>
            </c:strRef>
          </c:cat>
          <c:val>
            <c:numRef>
              <c:f>Pivots!$N$14:$N$17</c:f>
              <c:numCache>
                <c:formatCode>General</c:formatCode>
                <c:ptCount val="3"/>
                <c:pt idx="0">
                  <c:v>312</c:v>
                </c:pt>
                <c:pt idx="1">
                  <c:v>373</c:v>
                </c:pt>
                <c:pt idx="2">
                  <c:v>351</c:v>
                </c:pt>
              </c:numCache>
            </c:numRef>
          </c:val>
          <c:extLst>
            <c:ext xmlns:c16="http://schemas.microsoft.com/office/drawing/2014/chart" uri="{C3380CC4-5D6E-409C-BE32-E72D297353CC}">
              <c16:uniqueId val="{00000001-1AF5-421E-BD42-BBA76EC8361A}"/>
            </c:ext>
          </c:extLst>
        </c:ser>
        <c:ser>
          <c:idx val="4"/>
          <c:order val="4"/>
          <c:tx>
            <c:strRef>
              <c:f>Pivots!$O$12:$O$13</c:f>
              <c:strCache>
                <c:ptCount val="1"/>
                <c:pt idx="0">
                  <c:v>5</c:v>
                </c:pt>
              </c:strCache>
            </c:strRef>
          </c:tx>
          <c:spPr>
            <a:solidFill>
              <a:srgbClr val="00517E"/>
            </a:solidFill>
            <a:ln>
              <a:noFill/>
            </a:ln>
            <a:effectLst/>
          </c:spPr>
          <c:invertIfNegative val="0"/>
          <c:cat>
            <c:strRef>
              <c:f>Pivots!$J$14:$J$17</c:f>
              <c:strCache>
                <c:ptCount val="3"/>
                <c:pt idx="0">
                  <c:v>Jan</c:v>
                </c:pt>
                <c:pt idx="1">
                  <c:v>Feb</c:v>
                </c:pt>
                <c:pt idx="2">
                  <c:v>Mar</c:v>
                </c:pt>
              </c:strCache>
            </c:strRef>
          </c:cat>
          <c:val>
            <c:numRef>
              <c:f>Pivots!$O$14:$O$17</c:f>
              <c:numCache>
                <c:formatCode>General</c:formatCode>
                <c:ptCount val="3"/>
                <c:pt idx="0">
                  <c:v>224</c:v>
                </c:pt>
                <c:pt idx="1">
                  <c:v>247</c:v>
                </c:pt>
                <c:pt idx="2">
                  <c:v>250</c:v>
                </c:pt>
              </c:numCache>
            </c:numRef>
          </c:val>
          <c:extLst>
            <c:ext xmlns:c16="http://schemas.microsoft.com/office/drawing/2014/chart" uri="{C3380CC4-5D6E-409C-BE32-E72D297353CC}">
              <c16:uniqueId val="{00000002-1AF5-421E-BD42-BBA76EC8361A}"/>
            </c:ext>
          </c:extLst>
        </c:ser>
        <c:dLbls>
          <c:showLegendKey val="0"/>
          <c:showVal val="0"/>
          <c:showCatName val="0"/>
          <c:showSerName val="0"/>
          <c:showPercent val="0"/>
          <c:showBubbleSize val="0"/>
        </c:dLbls>
        <c:gapWidth val="219"/>
        <c:overlap val="-27"/>
        <c:axId val="1061348528"/>
        <c:axId val="1061349008"/>
      </c:barChart>
      <c:catAx>
        <c:axId val="106134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49008"/>
        <c:crosses val="autoZero"/>
        <c:auto val="1"/>
        <c:lblAlgn val="ctr"/>
        <c:lblOffset val="100"/>
        <c:noMultiLvlLbl val="0"/>
      </c:catAx>
      <c:valAx>
        <c:axId val="106134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4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solidFill>
                <a:schemeClr val="tx1"/>
              </a:solidFill>
            </a:defRPr>
          </a:pPr>
          <a:r>
            <a:rPr lang="en-US" sz="1400" b="1" i="0" u="none" strike="noStrike" baseline="0">
              <a:solidFill>
                <a:schemeClr val="tx1"/>
              </a:solidFill>
              <a:latin typeface="Aptos Narrow" panose="02110004020202020204"/>
            </a:rPr>
            <a:t>Where do our Customers live?</a:t>
          </a:r>
        </a:p>
      </cx:txPr>
    </cx:title>
    <cx:plotArea>
      <cx:plotAreaRegion>
        <cx:series layoutId="regionMap" uniqueId="{337AB327-EDEB-4790-93F0-75E303FA6291}">
          <cx:tx>
            <cx:txData>
              <cx:f>_xlchart.v5.2</cx:f>
              <cx:v>Sum of Quantity</cx:v>
            </cx:txData>
          </cx:tx>
          <cx:spPr>
            <a:ln>
              <a:solidFill>
                <a:schemeClr val="tx1"/>
              </a:solidFill>
            </a:ln>
          </cx:spPr>
          <cx:dataId val="0"/>
          <cx:layoutPr>
            <cx:geography cultureLanguage="en-US" cultureRegion="IN" attribution="Powered by Bing">
              <cx:geoCache provider="{E9337A44-BEBE-4D9F-B70C-5C5E7DAFC167}">
                <cx:binary>7H1Zc9tIsvVfcfj5g7oWoJaJ6YloACS1L5bXfkHQEo19rcL6629Ckn1FiPJAEc2Hy/jo6ZiwwQQT
OFVZmSezsv591/3rLtmsq3ddmmTqX3fdn+8DrYt//fGHugs26VodpeFdlav8hz66y9M/8h8/wrvN
H/fVug0z/w+CsPnHXbCu9KZ7/59/w938TX6e3611mGc39abqP2xUnWj1m2s7L71b36dh5oZKV+Gd
xn++d9ZJ+COvsnD9fvsa+fP97Tp754YbP3/n5HWm+/fvNpkOdf+xLzZ/vt+6E3n/7o/pD75Q7l0C
+uv6HoQpOeLY4pYk4v27JM/8p383MOZHmFGBBbXkw+fnr16uUxB8k04PGq3v76uNUvB0D/+/6xZb
jwLv5K857+JufCcjED5g8uf7T1moN/fvbvVab9T7d6HKH15a1Tv5+MCfbh/e0B/bUP7n35N/gHc2
+ZdnaE9f8H+7tA3ofwH7rwTe7/16D1DzI4FMQQSjj4DyCeKEHBFOTM5gED0OsEeo36DRbqCnN5gB
81Tk4EAuwmyzB4zFEZPUYtgyHzF+MavlEYePZXFzCvJcjV7DeEt+FsRbEgeG8HVSw+qyB4TlkaSM
W4TiV2YxOpKmkBYMg22E52u0G+GJ/AyEJxIHhvBf6fo+r/aAsDiiYIQRETBFt5ZkgmDyEiIpkmj8
4G2A5yu0G+CJ/AyAJxIHBvBFfp/f/fP4mvjIlAgmKGaPM5i9hNkyCVhwTLcBnq3Qbny3xWfAuy1w
YOiCw71uNtVebLQ4wpIRTDh/mKcIHKrpRGYCSUJNwP65q/UmpXaj/PIWM5B+KXRgaN/WWm/2Yazl
EaaEANZPy/HU4SL4iBELm6acQD1fo904T+RngDyRODCEL9fFPoImcUQkBEWA7+NUBpO8PZUhaBLS
RJaYRE1z9dmN7pb0DGy3vn9gyNrj3P3n12EqjywMJhi9FivB1LUsk2HAfttKz1ZoN7bb4jPA3RY4
MHQvNtUd8DXOP85s8SOKmGSCid2hMHjTpsCSY24+TO0JyPP12o3yRH4GzBOJA8PZyYGlGy200vux
0wgD0JTyV9AmsFCbwuIYVugtl+uNeu1Ge+fTzcB8p9yBIX8bbqoH5IGn/Ue5azDgDFFgNB8nMHqx
NqMjuIjAAli7Zvh8vXZjPpGfgfZE4sBwdvKkVvuY2/KIjMESsJqvhFPkCCFBmTQnlNd8jXYjPJGf
gfBE4sAQPoOc2D44TXZEIVYmpvmUapITJxvLIwbXwBGDnMVz4z1bod34bovPgHdb4MDQdTfJu8sc
Up3/vDMGnBe3TIB4XKPHz4vckwlz3KSQe5qEUW9SajfKL28xA+mXQgeG9ocQ2C8V3u8BbUqPpEAW
pezRXo9E9VbQDLllCtwYTGeY6c/n85uU2o32y1vMQPul0IGhvUjeuXkFCYt/fm5TccSJZJCRepza
cmq9x7SFlBic78fxMAm03qTabsxf3mIG5i+FDgzzJZRbZPsAnB1xipll4SfOcwo4LNdcWPAHT/yx
+RrtxnkiPwPkicSBITwW4dgbKHjZD8rCAuaa/Kz/maIM9JiJCGJ4msR4m1a7kd5xjxlo75A6MMQv
1veQs9qDEWdHkLGiFuFPMdZ0yQYjjhgQKCaeLNnzNdqN9ER+BsoTiQNDeJVssmwPAANZQpCFJXmR
bgZmTArMAfxtZ2y2JruB3Rafgeu2wIHBelyn3/PkXv/zyJrgXgmwwuZLZE0o4cQUAQn26Jpt4/sW
lXZD/OIOM1B+IXNgQJ+kxaYK18k/D/RYqwt1upZJX8lFYgsIUQv8MqgeGj8TR/stmu3G+8UdZuD9
QubQ8M76PXlfiIDF5k+FnFPvC481JpIxISb5jJOZ+ryC8HPpOeg+//6BIXuxrsJ9rMT8SHITau7R
U8D8omSEHFkUC8blBNrZCu3Gdlt8BrjbAgeG7tmm2ge4FjBbDzUFT9zX1I+G2HhMVELR0JTKnqnP
bmy3nmYGtFvfPzBkz9fxPkhNAA5WXo6g/Pbh86KojxxJbGEm+KTSa64+u5Hdkp6B7Nb3DwzZjzWk
GNO9bJwAoyyINKFO7xHd6byF+BcyzRgLMinKfYtOuxF+cYcZKL+QOTCkz9dKbfZgnyFYMmFzjJDk
EeZdNQMMLpuw/G5HS/M12o3yRH4GxhOJA0P4kaursnV1H+6FpYbgF4oCYP/ik72eVodAEgomPJLT
HNTbFdsN+Cv3mQH8K5IHNgDOc/Xur8zfJJt9lBSYR8gihIqfJQVTJxviJ2JS2GgDK/r4mcTKb1Ru
9wjYdZMZ8O8SOzDsx8iiyPdSLMShqtMEGls8WfjpQg4OuGQmFwQ8uYfPtpl/i2a7UX9xhxmQv5A5
MLzBoo1Vn1U97IEWg9QFN7GJfu6nmk512NcMm+kEQi+2YLxJq91o73iyGXjvkDowxC82Geye28/K
DntuRlaM8ycedDrFCYViIs4oHcuMnpeXvEmp3Xi/vMUMuF8KHRjan+Et13vJS0JdGFTwUvRaXTeY
c9gQixFDE7LsDSrtRnp6gxk4T0UODOWLfC+OOnhi0I/g1z6NF7WBI8RgvyUs2JPpPFOf3fhuPc0M
cLe+f3jIwvbITb+X1ZlxxjlFT3thp2HYuEHSYiaj07Yj8L5n6/Qqwtt3mIfytsyBIX25adZ76S4D
k5QRDpb6qYBkB84IQ4X+i42w8zXajfJEfgbGE4kDQ/iqWkNUvYeZTCH9DFWcgr3WWwYaDFnQm4JN
g+n5Gu1GeCI/A+GJxIEhfJ2s7/aymV0cwSo7YvxEgu+aw3wsPyCPofNkPZ6v126cJ/IzcJ5IHBjO
t+u7CpqBZXsp7xRHFodeUSb0oXj4vNiRMbYpGf9ANnMHQfY23XbjveMeMzDfIXVouAfrvWySheQH
9P2Cpn70tb4kBJJcwJqLsZTseeB8O1ujV5Delp+D8rbEoSEMhdtLWKfvQnWX/3zV/0Q7Rw61gAhx
qAr6ZaG3dt4AF2ZCU0tL0IntHnMOvzSa4zy8AvTO28zBe6fgAcJ+mq/Lel91RVBVZBIA+OGzY/Um
EjZZSrl7OzQg8AblXsd/epOZ6E/FDhD78zpU766+h6rYR8mgBVQZYRBjgQUYPy9oUXTEoCoJ+pns
mPtvVO119HfdaOYI2CV6YKPgI5QUQufeOQb2bY18xypwqCkDA/DUVe6FPwflSdDrBsM2+p8LzmN7
1zeotBv16Q1moD0VOTCUoflwFqpkXe8js81hLzyC3RrstTo0DN0Qxtw2nzDib9NqN9Y77jED7h1S
h4Y4UNHp+p+f1rC51qSSQQuy1+jThwbezISk9/a0vp2t0StIb8vPQXlb4tAQBvfoAnqK72PlfqhZ
4Bxa9r4Si0OTOSIg6WlObPfotc9W6hWcX9xiDtQvhA4PbShYsNfV9/We0prgpY8l/q9voWZSUBOW
68chMZncD5ULb1DvVex3POU8/HcIHuQYcJL9jABogQHVZ1BM/hSpv6hawUcQxWNImEw20T/VjsxV
63fIbz/bbNy3xQ4N9VDFYZ/X//xaPjbBoUC9kJ8HMEAYNiVnGPh1Fmy0nkz3N+j0Ct7TO8wBeypz
aEjnyXpvBQ2QRBmT3rsDcShIMyU0pXvROWG2Rq+gvC0/B+NtiQND+OMmWO/DK4dgG/bYMqgwfmX5
Ho9SgcUbmsc+cnETt22+XrtxnsjPwHkicWg417Aa7iPlDY3pKBoxfGVX0EP12bhMWxOL/XG2Rq8g
vC0/B+FtiQND+Fue7CPwguNyOOywBl5suhTDWs1hcwD0T9heiucqshvWLekZoG59/9Agrb/vgzAZ
i4Mx9ECAcsGHz4ttmtDVG7ZoCsiDTpCdqc8ryD6XnoPs8+//H0D29ypuPfB4wNlfP9/tjqTmW4+o
g31a0IadQai8250CI8wwEGSA+65YGc62+HWy3mNOe5dOu1F9Lrv1jI+P+PuXsp+j514/lu7XOX/u
Wq8XDycEPjuZ7vdXHx4fzjaciD4VAex6YU+XTu7/fG8BbfUM1PEeW9UDz9/iIwL/K7WBUoc/38Nx
g7Bdb9ythaADqAW94+CG7ebxEjGh0RikLIH2FjAKRg4sgzalwZ/vTXCk8Vg5jEboobkoBNEqr8dL
0CwFGlAK2OgD5QxAhUv86/zG6zzp/Tz79UKe/v4uq9PrPMy0+vM9ht8oHr/2oCqyJLhysLebgU9P
IcUK60Vxt/4w9sOFb/8/PdC8KOu6u8xaKhdN6wWFndOIx07M2+aGGVZ/GnVNFi8QivU3nZvNp9hU
XWkrmZVfnr29XdpALmeqDWxchJa50LoeTvQb16jn2phZX8QyqJtLUmb40o+HzLNrnrPA6RqdS7tp
zfobbwojtKtU6NIpoyr2bW9Q3HSgBCy7l1qjK7hHULskSfCnwTIEXvXM8ja4N3C3/L3GBMjoFxpD
HTDsu5UWh4ZEaKJxyAPAtteXtLN832XdkHxqIEaiS8373LKbvsORG3JP2ANnfWj3MaKrtKl67FZN
ru+DTinshEZhuQoO52xsnQaosXllxf7Cz6PgOq7laapkoFxYGeRnFZRncdJa3SJUBrsIq6BJV79/
qpcwQDEcgp480LYWzsp8eOhng4L3ht8aRaIuM+3Jz7kvMLHNmMDQKLK6u267St4WHk6+/v5nx7H2
fCzClkXoYs8ptMSGFiKEjmo9+1kLdb5ZKD+7zMSAL3Ec1JeZqpxQeMHn3/8STJ8XvyShxx+H7dCw
oIrJOCsysx/KKsgvRYHMddnmVbLytOiJHRfBApV1MjgU9SJ3Imq16X8bNOOg2H5QGCjQBMeEc5Kg
j9X05yG+DgM/S8NLXsbWOo1qax0now7WkKoFq/Lc7hFAv2qTsiV2Ged8oxOpTlrZm+cdoxVyaBvl
sRPxLP1Eq4JQNxB9vymMpnCRMaTcsWRuVscWZUNt//7tjd0up/rz0WwAhwvHaoKfuQ0UYrWVWZZn
XODaS9dhpZVvYyPWmWnTvs/80zYI4+++kMV5N5TBkuVmFzoEN/yH5sOQO33gc8fMo2YTVpTfN1YR
8NPfK2laL0CmJoVBNPLMkGGwOLhFz4cTq0SIqkDTi8gsC08KV8tgWHW6o3Kpm7p2qq5EN03aW7Ud
BAF3KpytFKmKVWIWxImTMv1QJFba2Txp/S9tlOYnvdLaLqyy+MRULFyvzDynzqMotENNo9b2IpVd
toWhrkpjoAvfxzKyjcHLUoc0QXpsMZ18IJF/7fcZ7eyk5uWl9sqPmqQGdVlD4EWGPQHbYNbDYKNW
ROdJYIlvHqrN04AJfD74XSOdFgVmCk3b+/DEEFWf2m0vBhe3luEOUXdXqFLf1sjggd2mmi89VdYn
pkfIxzLAbbzyuIFDewhi7zswuVVjh1lp/F2nPHWLQpGTOM+KE1zK5D5sCgbznqbxbSi9jttNafqn
lVfVTg/vYYVNIq/KNu0WZluVS4w73CwSOK7Cd5rWF6XTkMBbpIpWbl3Iq8AzfORinOtjWGpI62Qo
YrbQPPnapSg4I5Usbi2qrVUtI4MsFUuHtWB5tVCoi4ZlEwt/aXQdWhOVtD+UXxSWMxCNajvzSeMv
Ox3lMDnadtH7TS2WVe4FbqJpepzBV23YQlvl8KLThtuRiiLD4V7LbZ5b3WCbOvEcqo0sXVUsXvhm
3aOblmITzjuuUGJHMJL0kupWqlVHeXfO4mFIvJu6LXWa2n2Y9Fl1H3gBIcM31RodTwNbVmDK8zvS
p5GmFRyJU9cFutSxTuPuVIblsGpkrb2TtArDwo5Ikt8ibtCTqKe0dmrAwLP7EskO4EqFcDPPg/VQ
J3FbLljc+sipEo29q6BEjOfHcc/bwO27ROpzpjSFEdV6OVatU8NauGRGEHlXDUwd5julKAQMOBqr
dJklYSXtpITFy1t0TcgcwwPP1bJ7D2UmnH7ipakTyLr1lm3Ck3ShPPAKllbmp4MjBgssZkZis3bS
oDISu1G9r65VaKTpIvdD8cOoGx4iF+VEr0JT1OLSMjzfO80o19yKnKxT5dAfK+CQq2BR+AFPF55q
hnIpK5WFyz5haX+MlEoLxyJ9Ejq8s/pkVYVlaDgAK/liFOmAXejeHacu/IeMqyRChoJXnmVfojSV
6QmtpE4WcaDZh6HWlC4jIyf4LGgDxTObByTQK69qiuwWFmN6GvkDiZd1ARoscp34w0LgbpCOiPqi
vUhFD0PbgKlSuR7G9WlFLStxfY/6tcuzBuAMuQL/JBsiOmySGBLirgAFUpf2aVCeYBSax37IY+aQ
OC6pG+ah5w61F1u20VaFvI68NjIdGpbRYKdFNBhnyEvMJS483wJ1JS8WuA+G/CQIcesvYmkGrT1+
z8YylBkMH5+WTteGxmDrLjT+rqDvWW/YIcwjcomHLBxCWzSmQT/2SUvqS1bIPnczWeoLq85gSfIV
j0FAphTelhcGOPs24CQLTss+Tbqlaq0hPMPa1x/NiFhrq/NSzxYYBu+yzjpOF4oNIShf4yh1E1rG
yhGttwhxWH5L2hY8i8iPmltlsfZ7UQX0uOGt7y1EbCFiZ8KD+1hJHnXLrGrw5dAV1LxR2sIfsTbg
Gy0zlHA07nm3aEgahcdVR0h7knFfkavQ4PJzhspxcEZRqVY8UYG67npTCweVLWATtBkoliswumew
gsnPVCAY3SlYycqFY5a6/EQr6ZHrqKrj+AMRmTRPOjNq6wvd6dH5DPru2ooN1i3yNoWfzvNhaOyO
pHpYoZiPDz+q3oJ9Ar2KFF+aVgZPUZcWvKogzuPBkXEDU6dI/Di8ySoOU76qwSvw4RrYVKKz4KrE
Zl9lNi0CBHC3VVdfpEZQKDtEddktO9inRhd9U5LRaMBkcuCJwIB0Eo9+ss7Szx50Oj8VTRgKWwRW
DOOi99m6zSio0VVR/4HqDqkzH9zc6Cwvsji6FbBarFSG8GUp/fIb9E1mpR2YQUhOc+HL+swLcr9x
+4qXLTi4PV0VBF6rg3jZ38VJbF13tUL5cYn6Jv7SstRXx6lnpD/6QY42JCyTwIU4QNBFSPpALQuW
yi8G8tJl2hZ+aXMTzFxftcGHMNfqTKZxZLkWqYgPZg9OZrCbgMjPVWQ0/iIhGUyTwfCoPDGzHJeb
FAxyfwo9YmFutKPFXkSWAW+0a4ZmAYtMW57hqibM8WSiG1hpaYPA9S6jvyvZyI9GD2766SB1he+1
ynplp3C8fHMStgRu1aU4GByz9Zl/UgAsrWPEki2HvGn0Rdfz5DZqVGkLro7NtGus46FlAE6MsBpW
RRLn+UXGOvPc0MjMF0GZpc2Z37dF4AhLpcFH8ETUPZIZmBEwnaqx40C1ypZtI0pYBfryNvFLHH7F
+UBFYw/ggfWfCk0NCTdTXrUIuBH7p4ZXtN8DHxmNk3DF4pNQInzTKcMbVlVdqnARDjUM0pDoiF53
cTJYlykrksQuiwaxCxMHZuf04N2oRRsUgForstC3q4GnYDuUSha4o13lNgkR1WoQJYz+2Ox87vZe
j5TjFYqVX1qrxx+joIKxBiud/AxjPVXXmcwwGFhSyGgp0oC1dld/I6JuBbbjuOGfLJKVrdtavjYv
TC8RzYfSU7KCxR1G9KIIKaAJgUPfnYdUx/k5r4qAXpMOJezE63IJz9V1hn8RV0bRuqnywGaAN1br
iyTxQP9Kxv5SBSIO3LZD6KQvTZj3PWM8tE0v4BcPXukTd3H96OQ/BuB3edFXoR/oyV//8zFP4X//
HmV+feeBpvjfv12Ed1Wu8h/6t99abfKx0lFNv7R1Z/j1J+1G+mLrLy+olFfIkg8bVSf6lYuvMym/
ui6PTAN0NKAWGunoP57faJtOeXZi2U+abVv2J6kynmA41pBQiTF0HBwDqF+kCmwEAJ4UCARoIsqh
wuwXqQIlZxjBmaYS+udw4F3GMsKfpApsL8AC6B7CxkJSDr3Af2q5hSkQSU9/f06qQCw3CZAsPgaV
cAQfxP7wZ2R2noceMuWDzBqruUqaENxfpypzdJp02DzNBogWnIiln/rIJzbvjHORQfQWWWljtxFz
g8xANtbRx87XZ7HobhvUnfcejuwiYNKGmQEmLhzAc9Sf27S/5Ck9sUJm08TL7VKoq6LrTllRM6dL
y5NwSFo7VQp8QF/aHpfdqqL0BxW+dlpVZjYK496BaUQWVWyU9iDMZR1FwjET8KilCr71zAtslZj9
Quo+dVFVfDRZXdtmbRAHOAqHFgNy+lbbpl82TpV5XxKJXU1Y71RKuVbYfmd1bEdembrQ4feujHjo
NCz8ymCVsoFbOaGdgCUr5Db4Yl+Zb64ELwbHa+kyEJVhU5UeE9ZYbpOLY9WlqdubTQUuTPe9z73v
qe6uUB6UtgX8VIhk6KRmvIrj7kRAkL3EXVsB02LktvCLex+Zltvh7GuRW5FNg4a6Xq03zCPDpYr7
dVhY3llthRAMWiS1A58tjEzgD0TxyjUhlHDCcdHJVSdXbRufYatsvgnZVNSugdpbQkjrDCYPF6bH
82XSU+QkEFksRBAg25dDbtckUxc9Ep0bAwu0FHlYuF5i9I6G0WxXKg4WRgjhTo9Cb5EhFZ6FKE9W
Qrb6lljN8LkdmsDNEbgIsUrQRc9SvhzaOP6WVw05DTlnXxuVph9UhcvrgJHwROCqOy+lR92mT/JT
WMKr2jZMMzr32qwYPdjuvK6GhNhDirzvnQgNASbXKE8ygm7iXOJFELTFJ9TDi195wNv9bUTS/2GK
pF6kkoAXpvt6EQvh9CkBZjAqarsZNIybCnxDRS50P8Bbbxdl65+rrPwGbrx0jLK+rIKsPfY83S05
ajq7prlccitobLMrLk1N9LJMEbAclV6UWJ5B6OPbcRKCZ0iHMV6WmTuYMXZzLEKXpz1a5jUNigUJ
bznNIDoNWXyRSyHO4tpvPksIoE4Y9GK0A/AxVobIBkcZ1Y+OeMYx+NduJ/rwkYj4p03+/0FjDrTW
68b8r6QIs80OMw5SP804JDhgWw+FgoNxgz0Zexb+MuNwLAMHwhwOqn1gwLfMOJyGCelri1qQoWYc
jO9PMy7gvDXoU8otCS2IoUzhbdz4CwYJSpoIsKAUaBXQE4+NHJ6bcb/ibRRRkVwZuPzmhxpc3Dr5
jnvrJMFpZkcMRk9VL7iV2qiBWUj9c9mXl61IISxowfymYZnatW84Fa/J0rfQEuX0tg0bshA8r53G
78+R9lxm5BArYv05FKRwEpycB1aZOI1RHSexWqes8+0am/ceCZVTGKnv+FZ31onmPq5x6YgY9S6i
dMH6xrJxnw0LVBuJW6VW54I3pR1ey9oxe8QcnWf9Msv7a9Jblkv85KzuLGqDP/WVAjfmgpt7nyN2
Cqtb4ZZdVth+o2I79altBUAlZlxeDxJ/abzBtyMRxsCdGa2dcA1/ZVHoDH5B7DT1PZt7J9TXy57n
nl2Co2mTtvs8BP6F5tlZ4RVnATyTnfdhZaeEfGjD2G18P13EGbnwMPno9YleNtA41Yb9vkCMqwa4
t9gQtmnS45T2oeOJ4ouwKsNhqPdr37GaMvRvNYmKvyG6+9wPZnumxzWRarVKcAsUTln93fngwmfx
Ki1aBuuYldtm24Nlph6xA09cBD75TEsFJj1srwxo8bGI43pwiTX4i0FC9ORX0lgZef2BGsG9BQvv
CiJJB0N8eJazte7WEEQvzYKtVU/zVV2hFRww6S+qok3zzxIH2W2CkiLehP5w33bBh4EiveB1kXM7
rgIh1hWOLj0Y3ydIZ+i40yS/IpUnr8zUU6e99BxT1ous5exYV31kowCFTmDK/pJGAziuYZ62K+Dg
vrRZ6/IwDS5ol2/ALyfHKPdlaVdMBIO9F9f2/5qdG3tC/N7OgQt+v54aukexn4ZuPFJoPLBZgC8o
4DRAcIN/GTrYmswhnwfTEwwgJnDpKQlIoXUvlNPBgXLg0JqQP4RLPw0dFNbDcQmQ7oeOf7CVHQ4X
fIO/CjHqS38VXF/woznwZNAIeuKvis4vZS2C+ioKdXEqEmleVFl3JrKkdKy6+szA6SojHR9nOU+G
TZCr0rip+x6IySF0gBNLbmRQZLaO+xvtm6e5SvNlmcCUx0MPyawYG6swaUzbLIKlHzfBCTCmyPEL
z7QhpvUDRzZltkx5kdS3vV98kwFMSINxILmAtoqcgijztOmM4dQqsg486n5cqOskdvtx6dawhvsS
FvNwXNZ7nMMCj2N5koyLfjEu/2R0BMSjS3BbPPgIYnQXitFxaCoDuXx0JvLRrUhGB4MwCTEu+Bzx
g/PhY8ca3REL/BIxOijN6Ko0ydDZxui+qNGRqVp1iUfXRoOPU4Gv04PPE4BtJuADIdM/a0enSI/u
UQjxO5hP4bS1gqk8OlG+Z4AVqLT/w2tz9nc/RI23LK0ysIHIB441UPhYVvWHIKa3IkJZfVKwwNA3
Ic7KY6DinawM2HFp9Sq7ZRrJyg5qjzc25Z65orhtItvyrB+xV7cnY6Hwqs7i2B3S7LqP1CUzi9Ms
CS5LRM6ENpa5ak+NlLn5APHxGChEg2OFxX2bkQ+hlt/+v/F4jHghYfy6k/R4qu7UdkCcPO55eiog
ANvBYWMzHPINeXHg5SFqfWY74Dw6JKApqAXbn8cjRn/aDgntoKHoACr4pAXbZp/HuuJodGnA6ADP
8/ZYd3S3iufJTAsOvMRwfBbYobH2V0ycpA4iSyA/PfMqHgrenwwsT+n3JqDauwJijabphQGJnGPh
8cQx6uC2N33TjmG4uRmpIdT1WGhDnjNe1FKbrrJSdIzaOHJFRyunbvI17gffgZhsPZSqc1MKifBK
sbMk9YHX9KLrqAQ2yff0okiVaTcCGC3RD+g4lEy54B95kPSJIbg20mYRVDpxA6bP6qyQNubhlwaz
m5BmK5aklZN3btYMq7AEV69BKbLjKL8Z/PZzzvITZSrLDpMcyHpt+I4Ejs0Oq2Eto+qGsRLBAUGE
2TIh1wTp5KI2h3wJNHbmEi/JIYNU/qCev64jcMdSgy90v2k7YrmQRVs0BvXdJM0uOmJ+KTK/sJVo
i2NTQd6wom3hxAUObJqD7zMIWTm46c7oEEYLUg2bWnjLOm/OsGxXmIMpKvKVompRQaKLRLiBXFER
O1VDN1pCWrP1Blsimwz0POuH48GC9Ffte2AtuHaaNPwo6iQDG1gcp1CB0OXRx0QartbZTVGhs8Co
HeDNgH210psGIK1TEzLmXVhlK21gsRSsOMVW+j1TQeJA3cM5auQ55EIyoBS8jJ1CHFDd4A4V3t9R
lfhkoWjuZzfGoPtileKst30Uo69g/WRusya+IxZddkHVAkFZ3wEjsYRDO32nFXA5rNtNaWLlRBCP
22nTHes+uDQzTyyMtuuXpQ5+tAarwND23xiSH/XQ3eAG/w0Z81OUD9/CJpIOsxRdcN+8D0l32iK/
/zsJyhgSugXkqGnmiAbyoxYqjyOrugGi+JhXwjiHzO3HPoTHgiWrtH1fXHmdgrUwGH6Y4FjXgY6B
kWByoVmPjgf+A0e5CWkP/bnRwHmnhUncBHIwsS/pyjJCSKlCcrrAFnjtTeUYeXDnx+XgJHU/LEUb
FU7U+ytiqG9hmx/nMG2cTGSdDTkou+BqWGgffHUM/G7Xmp4DxMl17xlfK42ADaLYjUj0yfICHzJY
hNvK622YzRAcQITBY+4wnZ9mlmrtAPJrdSksO2DxDxXoqyI1143yzlkyRHbcR5dQ23BWAHVis1ye
ZZAMtAmljRMBL1IFYWBHumlXZQdErw4otomE3Qqx+DbwfJEm1glS/jca0+J2MFhgG4GANDixPnEj
uO2IYSPZfi0DMzwpAnkydOWZ54vizMvVV9Z5KygfuTUYOwmouDKkugkQ2xTmcJmm1fH/sHdmS5ba
7NK+lX0DfIFACDj8GdZc89h1QvRQLRAggQAhuPo/6Xb76/awd/jcB3bYYVdX1Vos9L6ZTya1wrW5
MkgNHZFTBi/93hi1r2E/8Knaa1HGeW1jmeDTw94GMxxLT0z3RWRK2N/NrrXzmY1Dnf97tH0/2jAl
/v3R9v9aPJRX/8XRhq/6/Wj7tuRTL0CxNZ7/RVDO8/vRhrC3h04fnCd/mIrxVF5Q66DXvyu1P6Nx
KNwkKAoB1vNd/A3/yVSM8ftPJxtOTxdMEghMnLNbqOXn9V91wVoHSzHcuI3/WKvhwRuCc0uHu9p2
IpkNLU/cBV9B6EEsi8jaui52hWFzOtqpSNy+65NwmacMjuu9S9c1LbuQJDMdWTKs5G50e3BVMf4s
Gaoyb0RHjjHXHpTe5kGHUiSrVFFClL1yelclrcRdAPKfkzo2KLJwDEXeGHxm9Dj3165sH1FYGVyF
ZpUX4XljohjUOF5g9fSacE8HTLSRUXPKypInq5aPpYww7jptl7h6OPZdsCuikedDDVs2pO074J1n
gA/O9gk9KN95cNaaJEU/XK2bx7kG/BPARpH0wQS1V8251EdBLoT7X0z5UfvpGPODUgXPZjMBZFon
gVekbjLZ2Drz1qHLu0V8nFfIH3bUX6ZxPpGxm3FA4RfSpjgOOrpdnLBLFpk762UaycnS6C0Q7Khc
QZN4CdwsDoOL5vq2aq1NqImAMFpyUzPd4DCZchK5eEv8cEhGzodjqKmLG2B77/GZ3sVO+dl68m6Q
EdzMxsehRUqy83rlJUNoyM5nkHi6Qo15U2uRFfVMEu1GF68qj8tU0STQZSYieW/rAav4OpG898Ff
RQP2IxYDjGFwQ3Pej+aBj66fFiR+4Y4SCaTffe+K01CHjzRePxKHy3271MkIOUCYMs6UV9ZJByAi
6Wh3mF3j4Ubdn/A0nwHvX7+P/VakdUGke9vRUT5ERY9vrAfIJOpmpfpzpWZ19Ixziwv8Y6wqlWjB
5amsyavuzZUG0JE5EQWhOPvvdp7eTbgsu2G0XdIPUXEAY/GpxUc0UfhR0hpL1K6ap4fA48O5jdyT
EeJDt8bntSdYD1S5V7Nz6ZcFA4wbubuRFyRRdTEnsAKuR7Hi42MeS1586sswOkgfVItw2odi9Us4
5tNL74fHuh/5IQrUCUtKA3mItbtokEfGgydduuXJjJJhMFsf8GfOlx42C0xupXAAMp1+AxqMBplC
4u3Ns/6SuqxgGSnoy6CETs0K92IYpDwN3mRT64RhUi5VnzRDM6arHdQrdwt+kGWpbwUL4mT2+8zK
heyiqX2OPByDfCzhIQuSDJ6q8AZ1Mi8aMcHPrit82kfvOFSqTJRgZaa96eiukXvso/IYkqLZM/ws
Sc98HMHbpzSCDzqIcU1ULw90xJzhsEyodQRvNGL1bRyCTxodU/AONlloGWYxH7KREhAr+AeHBrcC
7o4azBOx4hzo6aT85Tqm+sGEZkrWod2XTlEnssXsJ2tybez0VKlAJs1S3rZ0uqsx40a1vRra9XUo
cJLX4G2TVolnMGknat3DMgyPY8TcpJ+km7hK+Rh17aUe+jx0tdq1SzQknrZXhfbvark0uZ1JHnrd
yZsmmSzDhLmoeKs4uQH4dw1O8RZOELRLM3wqigDaf72+NiVUN9pHUQ4o421oQ5i1C/yn0eseVUnP
1ulUbhpcNQBTl/rZn0RwqCiT/h6riZeXCkhVUKns3yP8+xGOZe3vj3CAUeP7X5zg+KLfT3Ac0xCh
wDNvzqrHfj7BPfwnHJwo3gyxbnrYW3/Q7UgZIscCMPO/Hu0PYQttu0A1wbwHgY8a/Jj+oyMcMPyf
ltPtgYMRfjqoaKBtfz3CTWcHEGqlfzNY6uLDbY7zQvuMCN+HCNrvlO9NOD6XlxD7UDZw+ln70WXE
tZUFG4QiLLSTUZfncVZuIl2JZdbVSbR2U2YHc201dkwaa5UqNX1aYvmhrHgOMuq+pmIvl/Hk+d59
3+GMF/0CR7XzBqhK3kW2YLy4Ez4NdazSJm5H4CHFE9zhlwDsG+63q02ZbW8C7t+QmeVxr05h0x/r
YPWPqymwG9delJrS7sHJ517UfYW4dj/NPDhJXuwBJ3yKqgUe7vpsIccltdd6iQ/OLGG0lZnfFalr
4UGEXfk8k+mttoamZV0evEnJpIPhmbQlgMUR99u06vzruu1PTU39ZNb6a29KklhH4Y7ZRDdVqzGZ
8P5GBKY72XYE01Hh1A9bVQNb0diWXV5cD0y5GY6clSU9Xb9GnqmvDQ0/rxVe3K5oyzsPxEhSDvq9
hIB1JVRzDGIHNwGvW/alHKKbobJtHoYz3rWppInmI09rTO6gyGSZ4JbM9jCGecI0gBtqQ37ncp/s
107wpOdVgyHK5wn4UGyPrc9zd2nEwfdtA9e18vai3MjvFRwzs+CMcJsDrlSQjNgFIj4dqh3F5rqj
s9/kuh29/aj8Npe+uECEO6+juKklOY4LX7Oqjb4Wq2CJCFuaO0PlZ8u0iJwU4bKHG9nkrigjvBBk
gerXx/tRwNwUVk/72APt03INlBuc3D2E/mg/dUGZo8FWHFy3KDJjGj8ZfN+5a1CclrQrftPeMpZU
zGW7iDsj9sU5ShbFu9wBfQecpq5OAY7MPffKx8UbbqfJlXnpREuixg4PeQYmUJUMxGcf01MX41bM
yZZYWLeXqPLk2zwE4kkCNUyGMpaHZUI8w7NcJdjsyU0Avz0puxWqCF73xNfOdIhm2BHlTDEEh1P1
pW7h8rsiLHLDW+fgjmI3BU1eFBKnLKCjpI2lTiCCtQmGEpjUYo4y3bVNyoxgdyuxd8JO92xu63yA
tlGljddcA1YeD+DZvo5y/TQSU+7GjkxJEzf6qgKblPqWZY3u2ZEtMxZZJzT7qJD03nOm5ypWo5O5
44TtsvQsIVAVus8zfqpwdWrQfaKBGFP2e6daHokzE4gRnKVQNU4Sek8+zwtJYjNBax4WbOKY8gGK
5pWUzsmhUKF8/8ngeE+hcj+2vTiFQt7O4ZA6Tng1BG9F6J0nxcwrxuL3mY0XSx0nkXCAsmie5ssE
MPUQx6OA1gSzjdfuxcN3K7vybAz92oPjTMnaXLmzSxITh89rBAy/EmsEw6z9MoRg84HuHpVY7hB3
ukBIAze+gQ+yjbAdVwSsoilBRSzKJgb8AKI17VEOMCLDwQ92y4K3kPTtzeTwh8YWb66aPnQUt4fI
7UwW1vpczeSjrRnD4uAD+x4U35GJwHz3kV2gOjdiwD6xkhYzlrmCtPUyoSwiCx16G9swSlQbyiPw
HPyfoyswCTQm7UZ1noR7APIlU0OLnXBVf1MBQkkEsN7EsXE2Wv0+FAxCi6kyUNfsA8TtNsiVtFfS
Gz8rGh7lFLyC9AqOVUsSoddP4NNBYSt7wC/d7EoPnEtL1qxh4XUpcJeJlYM5Zk7rGMyIUeTg9Oyw
zD0UlAosfzXfIW91abwBk3zVfBqj+BBK/5rwbu/Qfs9BX+M9TW1D8O/BxzKqqnSopq9DFd4izjHm
Ri3HcVPNpk0RpfUdiFkHZ8GUNv5yLsfmroXgRqrysYEAVzJ5CDdFboI011RjClxRJ7IYwqSFfFcg
EVA1aeQOFoksL8WW+15MUNFwjjnLfoi8IcJeVDcpZ/LerbT+V974jVUDjfD3sxGifx/Nu/44/MV8
hC/8fT6CwrGFN+HT+S7+hvnkd4XD/Q8KSyFixIRBzNjggh/iPSqst/JqF/EapIN+IRxQRb+NMhD0
Eb7ZXMF/NB9t5sGv4n0EFwDF9gxOI7rPw21++ilyJXmEg8RE6sZ1G36Air4vOURmaM7nKTQL3Clv
uNjJU3vfXTFk2+lWCoojUrafNPVUNjjDAUtEkMe+XlI+Mz8RtOxTHM4rVrvZy8oxcpKwZ2sGTba9
7Xn8UgYr9jCAaKl11zMY74sO6CFSMY5cp9z3S/dSRFylax9drXqBK6ZqcwCjeOKt6JOaBqc1qtqE
0/CKefSJB3DUxiq6i+ewzqSuIK3ojwjfQrwN+LNpgy6ZEblCyCA0aW3WKybDF1uARQdj+Bo36oVZ
c45rcpnD5tEJ2qsR+nsK7PhJ6gI3G4L4SDGfw5XeSyl2hDsfvMqmvOc7qDghMJDu0oXq1YvYtV+2
IikDuzcWGxYuio9jg91I2gZyZzjmFVvLBJZpk/naMuQr+iWPIjnlxpgFCaL2RsMYQJzFP6jSqxKs
5ddzgz2OrzPZg3LbCdZDbTAC/B2RqeOtt37BPntj91hPyw7sbJv4XN5aynZL2R4roOhg/4ZbNoVP
ZV/wvKPLK6tgz1Zz0GWY4uu0kZXa+dUywJYJMfKud9rKcEfK5mRJ816uLVDm0XtipSZAr70ihfx7
I0zoXTdFeLARf+ivaXlkkHgQWzqzBZwjHoG0q0IDwKIHZjyuIh/90QA7jl5Lhmln6qWXNKraA6eR
Sd2qz3XIVCZGQA1eT3ZNBIjYxUA9LodqgYHZtuKT1v57GHjvmMj5gff0egOwrek5QnOmzcXS0Gc/
qJE1WSIcO0WVKtmf2oAdm4Ag1VDudMShDyDwki/WeqnH2bKPvuEXMpjGfDbOXdXNX+K1nnUauPCf
XYgta08H2NH9iTq9l/YQZGK2LfleAQEvCqMMXYYHb9NwlLYfEcV4BLmXgcXL3c3rxqWL6yh+Ub7x
03JTgzD69XkVc5vX4QQvHbgxjnLoRzBsACcGzX1sECn1Cj9BYPAoY3YpzECSdtOhGi7wuQhB4EXQ
DXf+plcBRXV3zqZhuWC6zwtkrQLylr/pXCMEr2hTvrb44LGDmZWU4wxmfYVsQSG0cHe9UQqfFLGp
aIDobgvIamXrulm3KW0Mklsj2dsICW5QdxWlXaKhzkVRWxwtU9e2AGtqoODFnvpChwYSErS9lrZd
HtZDnTnWqbNukwDnYBM++4Bn5ersodCI9c3bNEN9EeI4QEesVL/A3MNlYNri47KJjd7SXxWb/Cih
Q9qOHiQpHcyq5bPD6/d6wkfGkwrXNlTMIQZ7tcmaMRKCANObRwT1vsab9sktrjt/k0OV5DlFPjFx
Omgthvfy4ng2uCIQUp2q7a+tQfAF0TSRh/FaZHZTXqeiUCnXUGPL2VwZXUdQCaHUNnH1UGpczQHl
5KgbUQIBxTuOOAxCpct6p4qOgYaAITK0Zk07SMJ+rydM+PhglWtfJM6mHMOSL3ZmGUWm+pEeQI1i
LStPNdJjAJT6u5b65wZStFu4j8WmdBDPnIpN+/DX1VbJoLQWYICJfq1j+Dk5GyQT6TCJ8zQZePij
8VsPIl4hQXRUA+BVXtLLv3rJd70E+sHfzwTZe/M/16B8/0ozwRf+PhP4/wHnjNOd/MYD/TQT4Klw
sPHh9f/gF3/MBFsjgOvC7P/W6+J6PgiB3zQT1K8hk4SWTcgvPsD3fwYDBX+YCChYR4gzwJXAAVE8
fPLXiWAsJjE0q/RuJUZkt64uIa9T3yzfx0ZkGv6Gkf/GBfyXG8Bvgo6pzajBAISwNwKhv34jxEBr
bIz1fBsEMC1HpI5oHqzTqa0Qy1AerxGBCzEHj+omXqZLX3dPoacRkoI6nc4IU+a1JvXZ6CDOwOIg
Eb2MVeIE3cZe6td56Lq0jUr42pvUUQ7NQ4dvmHpdc6vcCi5gKBFf6b0+ixAeSn1s6Vijo3Pf2jSG
yJNK5HSyOGCQB2q5K5jZoT5hzCbQj9lQW+x69MWJwquYTnGCX/O1pI1Kceg/4KZz77T22nGC67Fy
DQ5ErA4oETgiVnQ9Fy0HNk2e4Gw2icuNybzNN53MeId00g4dBy9xpN89Hr7xdvmgt6O3nkKY8kt1
G+jizJC82YGCPbC40Puh1HiHtH5SjB+qiPK0KcszpLVPci7rnWndDqQ0aMlG2S5zpm1fx81vR8b1
jbTtBqyLGxqBRV8a5A47P+tZ/TaF5EkP/ErZdkoUWe7DftojQHHAaetAFEJkdKZ+BSkc6dDSCx6c
pWvSduyjNIzf4hGnnm+zqQeYP0y0TnBBZBGoFLx/Yo/z7mu0YP5wWXDlmAmusIQm1YOtIOFy7c3I
rS2AOeaSVLuaNLeIiYmd78/7taVXnBc8GQndxwavbTnXmKtYYLKuj9+QujhAvbtXcl0yfx2eKwZn
giMylPhj8zDM05EEtcm07352UaeR8Hl5bqoqQKB3vfEsrIWhFAbpJv2FNN4Xb27ATFhyUE18hPdI
AFDMe4h3dy3y3xbdFJfQX2XKGvl5Fd1rGQ5l2jL1CHRBZLQP68M8+XsoVqnnFzvs5ggv4RKD3UHn
Esmpsv8oheJ6t0bOuKQBszohrq0rkyyeRlwOATiZueG8I9G8LeLanpomgNa+kNQtcNZQ/8vsxscq
IDuzYvRAxURnnuvA3+SCmbhrElQbkWBJldXCO/o4OwmUt3EbrKL+IwCce1I773h4fJ30MNUVrkYI
RAYRlGGEtzJnaq7J0WkDSF2zuUQaPIsDtSioauzmg6k20G7+wEQ45JZ3V7xyi3ToLKCfLS04XDoB
tHccDvM8viIMj2MxFqkRLkKV6qpm+Mj6sr6FyXhuHOe4NlD2Sl6W+WoXaLCm+sJmRNzFLHzkw8g9
4rt7q8b3GmhOaifIJax7nXUOA/RYUo0cp3NYWPjRCvdtDZY6DRtk95bmraEPZh4gXE2nTvGkcYCG
SJ16Oww5ZUxHHMR+Pvv0YDx/p0kJkXDtzN4PxbhzCaRTbuibpARZWjVnhaM10OFuPxF5s6j5g1YC
EtpCn1FCEl11DuLij1sihEdUFwfltaT5v26jv3rU210UxwUFu4IFEpAYgku/LHDDMPi0WNhyOy9p
mNB9cbIP6uooxsT5KF+6vD5CpkiKM/CRKRN7//jTAfcXUadNP//1Jo5vH+ORtAF07K3h89dvr4sp
MA6b1lsTfuyKY+yOSWzfHNUm//z74PEuMBS8rS7H/UM1SDzizKqQ2rwl1QWNKUnTvMf8CHby//g+
v55+319OvJ44AwkKeGCK/vr79Jjqg4mU7i0LzpqBG8ecR1/+99+F/tV79vMv84dvMpWuO3ggym/N
bniGq5qbg/slyjbb+qrFNZbc6xzi+847PF1HWZNcm6tq9zzkRX4nTnNyQJ7pMmb4HzO1w1/58//+
83m/0sDfX4QNA0YXvw988Fss4idRoEHzBDgsl9zCobgu7tzcvSIv/ISyBsy/2ZKcPpC9Ta/73XwI
grQ9g0y7g3S7Qwog/faj/Jud2Sp1/n6Q3J7I+mddafuaHzMk+a4DwSXzKIpstmnwh660tYYFBB2s
4Gm+CUs/60oh0pLI1WATDX2X4o3/4bsBKMcNBDVG6PDd9Kh/pivFkLx+ui8ELoBUFNEBJaNATgDy
bP/9p0toWN1qmYKJXXNfrsieMRdBdQUZnWIN5AbVJmsxeSZxPFY2WTQiLYdQXAsUeqrEgs00cJur
aKpcKBeYg1jI08FdHJoXzkRFnGPq8JCFX6HTW6TPxIR+lql1umx1OXXapA6duAOxqQl2QIND9W4S
MJPD0oE2HW6JkcnKF2i/VYpZ/DBKqNDDli/pt5FCV/pbbGfYFZP7KBBH0ZI1uWqBfyzuvdwSKyg6
QXYFIZZOtWfZFxeCcMsydNBrtrxL17WwbI6AVNHewZGIqbZsTL2lZBobAmbckjPTlqExdn1pEaoh
LiSeBjEbZ0LeptuSN/iIdtncRie0NnzxtnRONZnXccvrEAR32soNshZRnmHL9MzMsJRtOZ/C9CPm
2RURw5E1kEGQB1oCHUCw93IXqE4mttTQjPiQQy2OXOCcExpd0rYgX6ztVDoFA/T2/lBtKSScWhex
5ZIgHj9PwdKmop8vw1Qjv7QlmVZEmuB07PoQGaeiLkC3ogyl0EV3pCUKEixV18JT930/p0XYnaF/
paUVEqhujykc8X6EqigKNYAPmmz03cSA68cM4KSm4yes0UjORAya9+on3mhFgvmjxrQaOjvHH9GC
sJJd3WhxcZd1Tzh/maDRpcgtVtAW/CpzGL+1oUagOx5T0o8ng0046V39wtWCK7EOzstCHkYIMcw2
Bh4cOdRS3HNpLlXgZ+hwmKDjrVVeoHEEKI5THHSNLKhr41s3UGEe9f67ashwIJ0a0kCq64DIcV/6
6FXx6yc82+Z5Ey5RtXaDygYYK3ENAaTBEBQ1Yiea9hkWX7ZAIJxc/4PbTSoLRbA3c/Ng6+AoeQ+U
qCgRSEVxQ7oMwuBC98pz12kUnsSAnct5fpHhFiT2Riib8zOhwyMdaoiket3LElLdEKSOQHgqGD/Z
sJDJICH/TGGNmNeWoIRqmPnj9FCItQa5QqZcLfzIB8oP/djfT2z9gO6dtz4A5WorKDOxqHpgShiJ
qTs9mcqFvlFT8C+sPDmOOqFg7KNcI40VB3qZp8gDhphdpeljN7h7x1e3s1sh8F/5DxTVallUutAt
rXMNQeKqCjsn9etqZ6vmpaKh3EuyfGz5atFwww+T0XRjR+NUOjXM7LZROyDKH4REBhmLBVYci10u
hgSYxcTdQ9zSl41eaucQF6nX0BzPCmUJc+ZdMyw3hNB33YBpVbq/7sLwSfVFedItbF5G7HtdxfeC
wrtk2CUT0tgFAN/ydTZQZSCgy6zgHoXaGUbbekr2TTirtECWhRU1Lh3XB1BDYCeproKshV44lF+V
h5rbj6wcZT4yKXPL4qsp6K+IQ99rlFRlyjYwuOsFFxQanFbH/apneuaqOiyr+oCCEy9nKJEJ/XpO
IficoVGaXWQdrJMTu6dAyY98RBJxFRsY7IkrUrenZS33UJfOUBPuBFbJthHHcuwfihL2qY2h/s76
glj1DXO6xy4qoUMuSKq48DzPMe6LuDeCDoD5DE1+mveiVi9SYW8J5xifWRDxAZbvHJ0YY1qZ+Tke
xglmGyLtRnb4w6v6g/VH1EyAU6/hPydt5Ks0RlnKrl7KF29+n7cyKxQCVblc6Llk7Qe74BUl8fTQ
zKOXF0ah7iOMU39wnrGQv5d8hGVdh26y+tgjB/UZpWVvq3a/GoKLoZPssdN4w2b0CWRBgyAg4bJH
rji8NQIlTz4Qta3vDjOlQSdRfY9fNZun8garJt0FoJFSbsAgrE14CaESoWjNPU6qrqAFRvZI5+DB
6wosfjH6NJrqvZ1BURd0tgmZV3kYavPkS7WmLETDFKrzTPzb0PrvlLSN+X8/JeXN/2RKgzL+86i0
feHvo1L8H+TkwPH6FPrCr10RBJ26HjowkRoG5LuhxD8suPg/UNrwvGDYR9t4tRlnP0alzZ3zKOoi
wI3CvflnFhxg5z+NSvhzsL+5eP5wiKTfH7aBnhc2cIgBZUzV87xhhga8oQOBMAnFoG/RHgcYEZLC
a0C7MY2Dpk/G0AnBDQIRGhwjTysHWoSyTA1BgL5Aaw8zjchD2qHDb7dS0Djt1vME6UinI51U3hex
SfsNnxTgKNGPhf4IG5VICoRPMVhL7N5yx1bwsyE4TGwM/KBBZo6VfSlmUPtGdA9alTiUnCo+EJd/
luA6re+egZpcK7cEzrehn64WZLcEGMI6cKHNXO2XDRRVIEZh03woRu80sm5A/9b04Bre7HiPbrNp
BmYI/uYTQyfFYdxgVI2ur12s7DtT7B2lqCIDgTJlAxjW2Pqv0lPy1E2NQtgt+uiZ8q7cwFf8mJ9j
2d7UAWAF34SpUzKlni2SFDkWtH1NEN0NkNMFULDjCsZ7AUthDdp31pDcbple1XR7ipRvqOf7mdX8
gIKJCFGTAGVb87pmonJYPjn2JixnP6mQHK6QIDZblBiJcgWCJlKJ3ILGAonjxsxHn41vaJdCvY6P
e9GEdPK6xZQjd3nGMDBHt3ZAcrAb7QpcAsJBfCmd7us6lQFYSCPyQUyoY7OAMuja2H1bwQjtKxEf
u34p7/zaewI6ACgVnXEHLyqTldf+h9UNk65N4nh6nFjDr3FWdqfVbTW6gpz60AUqn4V7T2AAQYqJ
YGjBCUxqt3reHEJQMFOU+A5cCZ+jUrBjnc0ChSpEnPO3XBRFwgaEU5j7iF5B+DsCKPcE+bhhJzpJ
vMRoDimEfemC6kvot5fCEaBRSd+DJRtxu3emj7Qd4ANR/4PjNW8QIZFj5+F+iakCDi8Ongt/MVRD
Zqd153i+BEwe7RZZZ1aEwMnrCytC9FGiGRY9mA/tKr+6jYpyVADilA8WHAQ1Rx2rIz4T5rwGHsCW
0t435XhZjPMI2/lthKgAKTUG4eqce6uvXb94slKcl7nFu1V4z7xFHKjUxSN6EM+jwCvUeZzu/A7q
Xh3F19KjH4pwfsJ+tWKUbwToYgiP6L37NND4ftbimnd65xUbiB+am5nQe0yoMmmL6k4P5IgMcYoH
1Z84huGJzefOCT7xZXzeRF0uA8BywU1ZrQcf+0nnglmuh+U1mKJoL/i29VQgQHCbQ2a/dwAbbkRP
gS4/zOn6VQ/tyY/NVe17x9JdnycJ+sygLCvt/fnY6WBr6Nw4PKe5B6z2CZWPIFswVycri/ZbOVQO
/CTKi1ENOUpt2h3alQ4rhUMtulagca1L7QBI2gONt91xcZciKq+puVUTlioPid/dZJY77gIPJ9gu
XLwEuCfd+Qu7ElP8OWAIuXUhe/IYvfJpL1J/Alxllg6FJ9stTpcrGgLcBy+WuybEbOJ1Q5sMICNj
EjSHFsYqaTBw8HbEKoTrbVr5A3Hpp7DFjMa96ArR42LPuePs4HLckxB8Y89rgq608JOHIr6cyAYj
MuvyxUdlXlt5dAuP7WoAPHpciwfRrwKLEHmUlZHoZAirz13pXDOUfuWIzKLEoHqZS3Oj4/LQBtHX
FUJhPoIdABnnglTsO5T9DoGD8OGwti8tEFB+tXp8SUZmVI5mo3MQ6cd4o571xj+jLvVNrVUMz974
CFivr4UB/xwCm2aj06frpG9p1VyXAKt9ANYWoDXZiGtf6lOzennNaZNPY3AHwPpqitGHyDZeWwDc
jgBwuw66a/TGdAczSAf4xo8+cO+qQGER8G+xceA1Ojfw06yv8YaI98tzG8x33SxucT3gRQBM3gIq
XwO4lePGWBpX7oGPTJB5xwcJFJ2w4YT6zjN17ZP0UEQEZJ0BXe9iKtHLg0/1RrWHDYN4vZHuMUMC
u9rod+mCkMc9Npur7iAByOuNlA+BzHPBUAexUfTBxtMDqgdZ34njurH2To2qvW/0/cbhg8P1jqDn
qizeKH218fq1i4UQmWiScAszZaP6/9Wuvpmgm57591PZ96d4/fYEtz9PZtsX/zSZbRkvDGYUDzVA
PeF/RSwPj/QNIUFCk4JYRTZu6sdkFvwHlV8B+rVAnf9BxPI3EYu5ke/DWMTU9o/gcUhov0pY6AmD
uo6mdc/HHOj/QcLyS8CeaLyi12X7tg7X1n6PvP+tA0rJrzowRDI8/RIVxRBZI0Dvf3JAp2KgI5IP
0zWaWXPP674uHQVMI+4DPX5F5yCGOF1lcPwBrDvyiKqaA6oJ/z9757UcuZF13SeCAi5hbgEUyrKK
rpvmBkGym/De4+n/hZ5PEkVJ3THx307ExExoKBJlgMyT5+y9NrLBqqLwMkrMNtq2MJud1NKlQtei
t9U3KQPsq646z4bqsEth1kTZBdOrSE/a0NXaJcxRWHDsHpB8qJorojqffY1OCJQwWeynqA3eRyFf
aRpAPo+hqomyJc6+1erKnAL+udFbFY2YHEqPCeYxz071tz6acr9T6NPpKYByvMg/ap+LWZnSJrOa
R7sJtQ316Gpl0sfrBHcIavSy85VGSxzIlkxy4+dUVU9CVT3bzufTGA71LivKXVF0i9eASQ5EtsX3
fIXSWGNlLJ4leaRQ0Kf3PJUunF9L1BXL4ve65YVVd2cmuSPJ1V5jMpjKEgjg/tBVcgnUYr6ZUuuQ
LFOBrqphzJweatN8CZRhZONKdiEazD6NXzqcYkg8QFcIa4fo5iLBrxZwVaJAfQLuerB7c5fX4qQX
Nd5ddbjKtMUzco2mVb0z5hotv25/TeIFhX+aXTcBkvh2wVEQy09VrXbuLCVIivT7LlPS1Zad0tfU
7/Ckl0ytJ2SiVryfs5r6PRHUgImxleuYbuo6pNXtzciomu9i9bB2gw/y7DChrrP14UEvNXeMxNlo
jae2Wy5prN9GOZ0fqN1bUx+uorHZl/O4D6fkIRoYhub2uKNGPUVqdmcoTHG6JHsAWPYV0fqDEfR+
2eDgXgQE5ubZ0DsK886mldM+lbx5EMfTVpqXb2lmbmYzcptAeFo6ndgqLLRe2Nr1ueCPWsiBdTNw
QsN85inwkzh5CgNkVFOLIlzqe26b+n0uk53VJRtdq55h6DxJknzXmjQj0iDxhsl2ZZG9Lmlwk6Lf
xcIVnlLSADjdV6mjS+Z9BKi3rvrIDeMQTVqev9oK0gKpioaNtWCUtKa2OMS0Iz2pUgZPGHeJrT/2
IOipMJvKwTbP05OMd7KSHKW+sqhh0AELakOUXOJ2ssAA9HQvjxQl6Sqsajd2VlHq6LDbxpbuNxi8
TUz3Tzas0LPrwHoFQAyGAIAh4uLK6Hm+sTm2bj5LWLKTeIjxlMTGqa4MfI18FI6WVrjtJVAdSVZG
HhtlAzdckjfdgoYLQj/Dbstgl8x7fNnI961oVp2ubo6cnC74Bls00PSqFY25q6LW7U5YVrIJ4/5k
KOHgtGlVbJVFbINpsZm4qorT61m1KbtVUpbH2cWEVoRAUGpvUECFbhBUb2KZvzaB9mKmoEc05SqJ
lNy1FUmiiSmdghTHoJIpgspBTOjhy/yuFL3Eo2oG2UOfFrfjgMQaQ9FF5zjFyuI2ie7hCMIsWxVH
szZZEIFDKeYqt0ZUXmEBZY06hHWwgyJM3xFn3NKdskTaRiK6kjP5IW0GKkb5MNqUAsWUPutJIJwW
zfRoBcZR6WTKYbp4rxxGVXdZViSVXo/5farkoz/EGoPekoEAslM3spZ0s8Rxc7VY6VlTq13KZFyp
jdZdfRKIIgqH6YPHkrdXlaCnj2Q0+2wevqyNs1zNASM4febBB4s20BFzmzWnBy9glAyQO4n1V3qv
20jGFMIxm8vpGB0M/VJqGUJa+lnDbkiiYVvo+bxl6Y8egporqH12X+Q0tRmU2od+bpJDloTngtYq
eFfN2uMKihy9NO9FTYKAo6PWha7V1kATg8DHJXFvBPO9VYhlncQjCunL1hd9qDjmOPndbEnbSh7Q
MM41viR+0cFJ0z82cWb5Kx0PIkGMxB39erfTh4KveKx8zcqBpublkzFU+2Kka2vOm75FVjybh7Se
v8hRshlihgFlFX3pMxXIRG0fwbYO+1JKGq8MMtoVfQK8WpafkD5rnjbp9WNvVIrHhGXBRcSNTiO+
grejPaprZRmoYsKTKdnMtuVfCZT+2paxVu4S2RCUGvZKk1OMT4N1Nc8NKJlJAak98UA47oUx3oxN
638ojv5hgK7+83V0YQpTI0TT/CSD6glEgLMRFec8y65aQ/3CqnRt5fkzy2UD1d/mC5iz3TBVqGHT
XatGp2hQHUstjqxUJxG0TmKnN1GALaaWN1oE/tnuUA8H38veQETCI6Av1tmQw5efv/R/fOXM/ZEH
68RI/ICgfpjxibwvAQGl5B3QZA7nezkBEF/+R0r4r1WSvba/PigM4GgBlkEgxhGDz4gbnZ9/uApj
JpoHKZEwIOFbdD76XitZGGRM6ChDBsFEcHgkrKS8KWzuQVvej9a4UuUqFipNvlmS3I8Qud70kWbf
FexKsFLOkqxkPCV06YUKM1qU4TmGwTEFdIpGlefGyOnQzLZYboWSvaRdxskyjLfLWDtBqxibKIvT
Tdppb1Kj+gLTFuaNGjG3bituWWsYyZqUDgY63jky9vWifmeI8TKZwukRFDMjzK7mBTiTSdjKTlbG
5EqOaNAsUx/RM+pi5Cj0NZQ4/Br0Sn5fj4hlbSU8iXyVtxpVtzNgSw0lW5xSge8jsWdTyeoF7G2B
UhUHnKJlp0B+6QG6CnPPuvhkSRm9llHZzYn+lK2Y/aIqFs5QaKMAYC06pQdsrdQzQwZQk5TvaM4I
3DHTgQP8SwrK9g2J2FY2QLmaWXSllkvmaG3tx1oLmladbnPDyM42bjPFWKZjbbb/4Sf/6+2g/OP9
wANpcTtYWCtWW+nH+yHQ4O3zs+6MVORFs9vcQ6GTnQ2pbrGsR89hK2gtIcJSjMmzYtoXrKhXfCoL
XazU3OFcv+o42o+LeiVK61HTi8hvc1H7jCP0fS5U+gcxc7PBGqyNXOrAZ9nUvRFgvQdVhXqEhUjO
S0yRor4Lc2wAStSW7AaoUTqQD0VV+6RWQHg2XhA+CndQSniyOdp5daZ2nkPmbIpnAFGDooPHrBmN
x8Qy9mOgfmNKwPB3ZBkANGMU031gJycTIEzNlJU+FndI5fSzeicGWjlJdFfH4pbx8daYu0crTXEu
FqW8MeqeWrAeNm0/DpggWjQaCTY3AJIe/a8XiXvCrWztSdGkRyUaaq8mCgpiuIyGTIJpNpUbRW+2
spzsIRlvVNCE7EaeniJltyycEEjQR7rWbPPwYrLuHkrR2WYe0pbzizbKb7XWvBSmsaH1dpX2hZcO
6aWMppNZGP5Y6l5kIquPC9NV7fgmraR0T4AJLZR5Y2QBeBwKGvSMnEt4GAfJvgEY9x6bElTJWXb1
PmHc16eu0UYwLJnqKgZpF9o21mq+JQWIpB4uLqSNCuVkdJKUYJMq40NZdhitEFFGuhNGpa+m0jFn
F49GiANK9jRUrY+PoIAfr3uKwq6ZBaOPJhawRV55vVQjvE+lLW3a40IL07SBs48KKrRWZtFdaLcn
ikUnxbrGmLULi+4YjvWpsARVb5cRSFGBdZoz86CHdPfUBLxeSUNVq2KFSJdkFxErIbWcEjLDTXCW
lsg+ISEjR0JDP1LHnPPJN2a/1Heg3R4qGYF6Ll8ZAl8XVuVTEo2tMwQBEGOVfncrFMU1k6DYjgNY
HOqGHXSCFr65uWsGqhCz7OglBcMGQ7Hyi63tn1buD0+qth5/P6zcamTPiV2lZEqw7w/tVV5AWxhQ
BoyXtLlSOLH8fD/6JFv6sVN8vN6nnVRlZsHpgpWhLL8rhApNtyt5Knwc9d3PL7Rmtv1tTzIAMBLN
B2xWF+vO+OGdjW031Am84vOiMEmo4ql140C9F21IMkMpcc/hJqqqGGwGMrMra8UpGUnJaCFZ5M3I
33VbRXonFu5mKjS6sFr/FejzpZTNu4zyjVOP27XqHfpLgGRd6Odd/Izv6kGKsuo27NNhIyKSSnLR
H0UiOxQWm1kBckKJty0gnTwQV3ZXLZlHJ+XQa90+1tQjU6K9IIIHVumxYdsmHeCYqnC5EFAySneB
Tz3kVbOJs2A/VpglswkPqchfFnkWLhFIT/VkNw/qilrD/Rj+4lP9a7+FgouN/uOHukoNP3yoEOGK
uGGieram52h5na1fBUL94kv7tHHIUkaNHKbzObbuqoQuv/blF7fFzy/wObwuN/JUTunknoV6HaMR
5WOSo9n9+UXWT+FzOQRDlEkmCa7CMj7depPZElWj8y7o9ONw7cacmuQLhutffBvqX+/xtTkFgMHE
CUDzi9JU+XShOYmLMVwqAGWO8sam5t1nfuBJG6Ki3AencB72hjucXm8Bz36dNi/ZZn7liW53v1KY
qmuf7fM7/vBY/3ihH+4Le4jtyg5ZRmABe7Irb6a7fpvfRL69sd2s8ZUtn7OPJ82BHLCxvWrY6Ofi
7ecfu/inV/Hx7lwXnw+vIgtaYG2IMc6P017dmE7n29emc0GjHnnbB+GeDC/f2ufIn3bFndjdB164
nXase86yJbiw9WidebYHN25HyNglchiRht5XqMNn6Plbsbf35XHcNV9y/+7nL33VAv7tA/z40j9V
0JLaxhmJidyXDrM0v/1e+dW94tUuajYv8hBa+Pmh3F6/nTb9Xrgc2JMD6p4DwyqXzYeQKedb4H79
+av6BNf62+NufNodYqIOG9PgVUV724ncZZdvg3umECkkDcdwCMBxZwfu/bneqc800jY/v/56+36+
qz4+R59WG5YaCbHePJ3lpdyY43jE7H8eenxdP7/Ouqr87DqfVh0rZu48LBk5DSFM/PFNnnaj8Tpr
mxqptFT5P7/aP3/Vf6wOnw+TUs7iL+qkP0dmysnvtgpv/v8uoP71MUAkkBlGzgEKzZya0Ae0Te/n
V/jFF/NZOYppzypAhM3nsjq3eepX6uPC8PnnF/nV5/RpcWuVDAkdov7ztH4rS4YCKXF/folfvY9P
N1hfLm1ftAR0jMPkxsaZtDd3ya9/fpFf3F3mp1XJCEJppjnHbjAxOLaZamXdRSP1yUQ1lozqeQjj
X3x0//i+hI1chjkLJqJPl7TgygZV3PVnPX9vEj8F3JUa25+/rX/8ej5c49NDk4V2K8GAnM4C36kk
3+T5L7oKv7rApyVxgRijJWU9nGUWbZrRqZb94mP6sT/+7MFfN5QPGwaQFAvuK/cxZwOndsPDsEuv
OCK4h8aNNuEF6sTx55/aJzP/70vqH0+/sb7rD5dU6P8pnRqxRz3SGC5YVa9Cru2ML6RG7gfnGtsp
P3DEJncVx7qRnFugduzq10/1tXbg1A68E6+1s0PlsP3Vy/vHjfzjkvv5zokbECUBD51yWTdyyQHJ
r+8LxXXSre49FM5Bdubju/zK4az5Mh9HZ/zF6oUT8uer8afvfZBaFJO4Cc+dh4LWQ/yrQuw9Zt6t
fTZO2rb3nlCHOgUdW7/ZVlvLlX6xQv/qJZif9j0Ju5JejFV3lo6lA84YSsI34Sueeey/T7tqk5/M
LeEC70BS3WmbXkIv+f6L+2S9xE9uTfPTfZLiAIYszK3Z+JOPBNuJ16pun7r3w37a7+O1aDkjy3kg
TcXL/WprXqO98PpNtEfG8Px/Jo9/7en8oMv/7fX8+bh/NhFZks1sqGBJqTf61oDE7E3+4i8nsmOc
t3Af+Klr7aEhO+Vpcs0vG4vqANHsNvXvYuwojP03Pz6h/wkq14/+30f3tzFEkzb+xv30Z5r5f2Ao
6y/+MbYntlzj8KuTTr52Zf+c2uNKIa9pHZmTaA9YhD3v96m9DgwOQxEtdYN2LvP7P/WUTO1xnliI
KRW6yavU8r/IMrC5/Iebm/Ymmco0iwlaNwy4w8bndVddc7d6DctGWdeVeZLIVooyx9blNmeipifp
xe5VLYUCHgCJikf0ZAryf9Nh0i0uFtvppS9rCR7VJO0FSY1XfSrN3qi2xTEP7PwOwdZ4YaJWnYq4
K9+IvhwPaj6md7oyNkfghuRudpP5nV6bvit16NxK0ogIBkpXPuP9km2s/qilm5F5qJ1tU1UZvSUr
xOswGMq7pMXLrdoace/aUYF4cKZVLVu2s1QGHEo1gTGwttpjarzrPO+DezWxAb+h24ru5IRILtZV
U6mX/VJF+C8BAVk4cbE7hyoXpJMLiXVAcgG2FEIY7TpB9tJN0+AvpWHRqLoXLMYgnw3UNJtckD36
RUoQRTr1kJqmO635Uej2iDCFuzTXz+i4tb0+5N1mwazomUvnNBWpi/RCPaUQkScPjS2OAxzTlyCJ
DYaKEQowIL+gqaR6IChsjgtN285Km+xpl5uATwGtLEo70K8dBOYEM3ljFB0dKiPQliuR1N2erko8
3C6JhcK0EcUCVIMbk1RWm9BH6T8Vyf9WBJna6t9XBB9+1j9Z0dbf+mM5IHTJwPAFgoDaT14Lwt+t
aKh4bDpkSKgNebWE8dD/vh6Yv/HPRBDQgIJY8EN6/bu+WhB7AtuIcQ/6G7yY/5WKxzT/uuevjQwV
SCsgaVOhpyG0T3t+mgPImzCYneGzH8KuHoqrblRn+qv5UFVk3cb9srXGlhl8lIfT19JeEztKu4Cw
1iURfoX2jrDe2YvYM92x67ekmHlYjzFjy4VK9FhmOKWdvJJ/GNN9F/FmlugcF+RoAsHssIZLTyTD
3oJ8xKRWKulNB3PxDhzfzsYlUJgBwyNkeaEcS+c0KKyRJ60GLyiFT3PVRddBEMXGdZTN5rUoLEYb
Ogx/zTFou5eeCHK5uDdMiXReRIfjpp2UoLvUUhvFX3tUtaRxp+NDqtoRgMu03MVRkszoaZsrooUP
Yy9uRajPMMuKr/KS3fc61LYyqt7UlbBkRP0rObax26xCDEV7jdaI1UbSz0avAk2avvZRLFwNdbc0
SJ6Uo+cLV7CQXjG4tWZEPm1h6swSMHcEmoU1PgX1Iu5Sa7wkSUX8gRR/U23zPu/177KO7aPN+VCE
1d1gbEHICthnN/L3sQFW6fOsheg/xngnL9jS65UukGfWfZ0pql8WaQEcZp2tJ+ouwmlXDEPj5WO8
1yI0RiKPTMB65gKbOC02NN9Jgpbng1apN4Ha5y4QYrBLurorU7z1qkXD3Z4ndT8PKBmkXv4ml7Zn
9W1ONLZgoGC227ywXxgkHA3bPLYayQyxBb1PW+w7hA4DC3jrT4H0TdiLn8nTntCrc9jAOaTd7lXN
Yuw4sdM1C6r3rsSMbsQjrkApfxsjeyKtr3jklsYBabMQIrdJfW6vG6hBHRqa8tyJRGK2G1xnNuQI
jEHMNJTboJJwNyKPdeSpES5EznZlfHqRKB/7RGUeFnaHjm+wa3ufdJl4Owk0AoZcl5ulYAI2zJep
Fg9K253tLr5PujJ1Y7n9mofR7Rr961Vyj8rGkPYoMDVniJrb2QzuARDeLDUzGSZllUfyTejYcTx7
ShNcY3Rk6hFIRD1Kb00tsSfoVbqdBYrTRbEzF/Nm7oWiJfpRZvKiz8uhrMxLQli1X1oCg1NfaG4+
ZDg09fEE9+obKT2HuLdIOWvjKyNhWB7L5pFcG2Ur26TXzsSDKDwAnq4kL41cjf5sdxe70R8HKZJd
HnWcfnNuuFGvvedzj8SgKm/7pXI7FF3LmrtjrpYdkoSh5uDiUVc7j7Qae4JVn93i9clmddn2pvko
VhcQ2Ib9sBqDskbd4/lAw2BZTOsxDxmrjUheDUVjnVxiHEYGTqMcx1EYcW+PkQkXHjdSnNvX6mpP
Mlaj0liNwDhW81KNi2lc7UxyI78H+JtkLXuT8TvVI37JeLVABZL6XccT1a7mqDzPv+YjdikV39S8
GqhinFQljiohlbMY1tiIVj+Y+mTcaIlVmeSTyOzDUf2qjcQgqYLCYcWur440Q5rY21OsEsPy2mjq
U23Z2s6WSZ+obPN66YcCC28EAKsBQGqQmeGQ3/QGubndy2Z3FxWMz61KznazXM4OlsOEtVZ7Ru5y
1+UkcY/k7/pKH4weGduJl1RVAchbph8H7hmQxfdhmW2vEMjEE3XwhqA0d2la2O4g6ZR2SEmcXMZ+
AWf0DZoIp9sWU68cjOIcT4LzTFszC5bUyNPU+nYsUCPPFiQ2hRToNC4mvqcYVrk2e7FIZm9Oouoq
N8f9nAfPTK04pUl6vlFNqKaTxt1aNcmbYRZYKjBLbkQR+KGuzYxrm3pfVrqfgm1jwGlkvmXh4mA9
xIKZ1M+NJYgxl2BEBtsS/f1NJMUGE8DYho9N8QU1xfYniaKPSW9wYxRq5Zu1sifE/ZSYMay5PLG2
mF7g6cM8xug7z4eo77+lYOT9qOq0g1ppYOGgbBF1ERa7qCiWLwsWYk8fZ8kXUPUcCaW+E5KV7ohu
2BP+vZqZLXQ9gvzpzD4E9nKU4iVnjopZIUiXG0KbPaDEd5ZkGqelxbYR9TDsEPNfo6+7L1RYK6sw
1KfEi50+khqGl90bMgEwtrQEtpMFs2dWGNSCT8cYl0XXXQxiKFhkLy3jYVtVy5HEoBMAfo/Uk+uB
INSNltQy4TkjUFuzOdsiebPADmIyxF1k2nhODEmQXiCgnVvzJjBCSBtLTbEsY3/t05cyla6zJr5L
oe27MmCJTdIohtPo1feMQJYwl3W/03TihGKdPwnh1hszRJkxVoqhj8+B3YPEw5ftjXUTuGWQHgum
rbtkSsKvNb51KFpPKO/wIfDomhkNsbx7EprkiKg7Vz8AMF3+FgjV3ig2fm87z772pQXeKEZ9q0rS
zSJXsidl8ZVC8CzQ5/SYNVQiOnuqkAYWMEX5PlktBNDgZAVzvsVXf4C2a+PZlZxEFA/53Jyn1Qxv
zLiuUdHh4m4OdascRZZ/kyrrfZzwghjYoYpa2gVt8h3ekd/2ZbdtzWrTVvx0LKWvciKflvCYM29v
ehNCXPpi98krmeNuNWDgTBpzD9R5vWus0G2N5rC0mGfNlK8nx3aT4OOaFu5nRqF4XFT9uyYDiYf8
dBcnIf8yC/iQQyttMsXRySF0YV/GWyq3ZyqwfTyRGEel42idcVhEiYCuii9GzWHfHh8UjT9eTSU5
xskxxYK21fLuTYclGWJlditobbKZQ6wrvioaG55dhFuBJtGbLe0MTOdLM44oj1tyEqWqvq5i+0Rw
HOAoSIq9RLgQdmsFEBKm/XLCZKIm+H7HHO0Iqs+WNEsfnDVnsYWTFKDLu3yoeWsWyoiIutOxspic
YG2tHhoMudFhnJN3RJ6xH47WZVaSbblsW858qrVt5sJTppMlpfdRNkC50vXchfy1TZKBmAvsyYTQ
vWrW6Btj+GoZ8UlXewKBAjniy6pfSGKA2KuOiWAjHpojj899OKMKwYzxValMdKhkHbfNxtppYbZT
YWgPXeoFllbdFEaTk4dQxAaIPQASErLfspQ50xVtcwBzNOaY2EakL36ZDdJ8M/PtFLKIJU8PAOaE
iznGnmWnh5IwCmdKJZ42idB3mz56U+LHNxNyvVJc1bFeejrCLQ/D7iNiiGVTWEONmSdUNhlZRFpT
3I26MfmtBsU4aR4QZqI1ovCSgpjpmrD3kam/kPZ3PcU2cUQmIVZR3OVAFHhCULqQ+DwOeHdxObGd
rLpgmY2tZUvj+1u/O2rz3iZPyo5OdYNmLKt0b+rM89DF9ADM05rejVQoeVHs2Wtt/URYIdVNWb2y
t0BOzzI3LawvbRzrh66Xvy8BusglkZF5DRbix/4aqinRhRHBTRwlHOqa0TOC4lsz5juNbD7YkeXi
161x0uvsVmVsX3QASEVejjvW3ZONft+cBZsdXG487TzRicoFRQMVRs9ap0WW3LTg0uGXbyuVatdW
0ue0jl09uqTonBMUQeOk7UUDrdu2ELYRr4wCqbvkIvkGAx5KjALGdY7PZSifBbmkWTGcdfVi0OCT
ltprGonetFw+pGO476L4qTO7L5VdQkZCq2A128kwVyGCS917nmv1Oa6IIWwlVsY83C+zueyTPnvm
BX6JVp+OSS24ibqK3OpcetaZFT3ky4Dws06OU5RCjB2Skpzo5WocZjCahvJYDTKopvRmHIuXtLJA
w7aomWf7KRPlKdaih3zE0Pi/Ft8Pd47M+fbfD/Tb7HtR/L29t/7S7+d5VfnNEgaemx/Boj9O5n+c
59XfkAPo/EcRSDHXSfPv53lM1jJhpX8YpvnR7+d5GzyhSkgp/4XaBU7Vf9PfU35MMf7sFnOeRytr
yYhvVctCeMqf+8uUo5hbU516y76oeYNiXihLtW1+ZMhpUhGpKGPyNnjGgNjcaD8S5/I1fG5BC2Qk
9qkp7JTtIn1NcQ3OFAuDir5m1uExOJWWTWve3rIvJiTm/WDfcEx9hx4eu2S+sR2qWwm0d9jGnFXq
rQzy2yrYXyppJ8XZK44bDbVVeQqT8SZdaeFG13ic93YgcnYyx12g+KMLcV7C3MbQX7HPKhVQrMIg
x6iR+ciYd/PKJy8k5TUBWD4Rb7NvLPOxAmW+NOMb6+EVCYAZulfS9J5sZHjdSkDHwfu9AXaRrmz0
ZKWkk3tWXxacjlDQClcdFDAe5XFY2epjB2U91aRmU63kdVmzeLcFEtC2hEUDot1aWe3jSm1vVn67
Sksg0klH0PrQb1bGu9KE5iYB+26Bf8dwPnj1SoQnePUpBxHfJwlVf3mZVna8lAfCz1eePPkZ+3El
zNsxuHIFoJwnjzrQjZVEjy1DQ2GX5y7BIRDj5ptcpPsWxLJDTtu3OR8s2qCw7ZsywCmNwEYL5xcy
JOHGKMp7p0oHBTA+nq0TtinI/Sszf/hBz185+uVK1J9Xtv4EZB8nzvdcKsZHvs9jJ56X3LjSydYG
FQukPTnIRnA3rtT+hijKFimgXaMiVIuebQwZe+hUGWYMgCddagOKDVHYZq0FsUYM0Ta2LCh8xFPa
VyqxdgczLYctSU7lns+lkje6TPATQdP2HbScHhHLrOBCqkvaAYOY9S1eXD3zsn4Kt8pc0rw2i0Y9
mVnWP1ilYe0I4ZIf/7cc/lgOxU8nHvdNTI9+/vuCuP7aHwui+psOYQ+V+8pIZ7TwocGp/caQgSD6
dVljEvF/q+FKZKVLbaKMZwSh2bQwP6yG/P+QXP8MZv0vph0krX4ad7AaopEGAWbzP7yUT7M8qcgn
o67b/LpQ8NVdtWofkNixgrMw8s8jXttpGnhyMrN6qwecjCUAGI6Yd0CMqLXN13kAQ1n14a7B0V1X
gFE7S2Rer5tnuYMSJbG749qYdCcobUxS4Rz5KsYl/MwhgNMgdYchImwkKC/t3H2TDJp2wh6/6ZVU
ksdE3WDzzHLoOU7wChzNTq7WCryRS+GVkbacgTlCfQr4mTk330iUIaOsb14HikCcEfNWVq1XaVL8
aOzwqEzhzjS7c7Gk1Ht4QhxRj0+jJX3Jujlzk1S500T3GAJEJhFKsrbw3Y1LSJIY3UsUur1Imw2i
zRfTXEhJRUTtsJreEP1yKanR4D+quL3M9YAb30yqfMhl8V3v8i0L90urx0ddBSfZ0GGbLPWIl4t/
297lcvPYa/G+nHqD6jd8LFvjce0IjyWNLu2tte23Rm0vzRI/iHJ6S3Ur91SI+h478bXEi3UaMe5y
Cign6SScRVBa/TmN7zDin5nsnBetDtxExhU9qwS/iNrKCdrDnCMU+oejrF9LYsyORNKGDiwDE8y1
ckwiI9wmUm+gac6uorqnnmunL0YrHVROtI5tdgerBIUl2/mlwrqA7ai29k1VqDCCxq1FpcbZGAdd
NWcW0Nao8RKZFF1jCKaN6NXV5MVPzVndNQSIBZbpZ3F/bcj9RS4LcIGSXW8bKPwTPluiS9K9KuD6
Th29QX1cwIfIDZxugYFRlYItD1rgjiTZyqZ8jvgq1kzA10Rqbo1BXI+hvA8Tk1QkNdnqSfklh49t
rytnuhhfOvBach5+bcGCYlWR3HRRSwcCHYnAtR1hE1oeacFUUACqQ2BWD1jrWoBF4xfJ7ipac+Tx
LJlUb7QhvZslhPoQDMAUKOV73kpM28rqSp/tS6pjk+zoCjtWSTjLNIybyZrKi4kJhmelsUhui1U3
SO0dowKoLDD+X7qgSjy5rQLOji3t4TTBA4eDIv6CESDjDozNDc8aNtuhdwGOd9ui7dBpjE21mxRQ
+1opHwGkXemFtHh5QpQQG/sNNBC8ZUW9eKaan+O1CTBLCIGInGncKVz2wVS+pNPaRNHkO107SPN7
KtfU/WFzW8Jq1eYp8aIIfhnoGXg47xA4k5Vr/N4s8pPd2id5zM4VPI2Vn+OIVoo2BtgMZ87r26hv
XzJ9bW/Ne6tcAH3QGWtI9qVnDwPEanW3seZ3tW2eyTY5jmV3gwzxqgO65GNV9RZYAvAocE/InIJx
1KpO0qey09vRwLihe69WjFw2ESEBMe8lrptn8DkkN5ZYJtRyqglGsAwOZqDIWiFZbpboj6y6NZ0Q
EhCHzHjryK3GiUIzjgX52EoNWVlt3/vRMhy6gMxaALu3RjS9JLFgS9dT+kF1m22qsFPcVkd1mBse
HXL6v9F014kaLHFSbLKJc16NHWZTFKLhoSt5JCzjil5Tsimn4FxmcEL0PkCtQGZOQDZ2Wdl3dqDv
tGm2XKMA4NDPGa16xgGhUvthZ2WPpMfHaP2HkwTBcfVU8GCL5AH4aucYw5j6LKu6G6rR61SUBibN
2B/G4sCCfjvr5bCr5Xzy2ABuIEVATwD5OzC120YyeL+BU7YjwBIHFumPwf9j70yW47bWLvsqN2oO
B/pmUIPKBLJPMtmTmiAoikQPHPTN09c60m9bku3rcNXUk+sbpskkM4GDr9l7bdtcZ3V+auPhJiEl
g/kVsnxMPPgBGi0oo5zvHYY7y07d3VL2nwlOlNllDXFPJTmQdlorjNqUD09mEHZxk2xdT7kp5+qz
bXBv1zkgNLNwlXU+USsx5iuvVEKlKN3qZ428gHXnAtIr5gnukI5THKQWS17ObEuUKnZgtduw2/rc
e8lTJbiQoNVv5i6iwOQjx+ZDVPcIlXvVTWq0IUyO93RI7D2A6J0XmQWeKxItjMrKeZeGh3imt+SZ
uO5SYDyJRUwnVjMw2crM5eYSGQLznCs2H5KTUJbRz8z0PAOow6oA2SVSx3GlZPaD1c1bSWK0Khm4
KN4nyfZpzfTZtiGPj43CpdeXJ42h0pVjsaZ2MZw6xDepGplguWjW5qwzmHXV6rnO03zfLvWDoXPj
56XxpMzmdZd0X8Y633hh+sDDXoWV2DJMBxzeJtG1k9T3ZFLsDAXCmBMPBCf3VY/nbNyFICEdWqNV
NZjophpo2LrjvDFUUzAYM2urK7Fs5sq91cKiDixpgCnxvgdCYIke8j7cq838aqNN4vMc9E2Wuffk
f8DtDpVDEkWvMNd8gt7hVqdiW9UV3++IC7ks2gr4ehRgiH4T6YTbrEteqHDxC9X2Re3tx8q0t6HI
p90SGR+pOjqcsSgvdB0DmjvhvrJJsQB/AvWS9QCXX6p1Ky2Zkegv2otNyh5g6iRYBB9sAxzTj9kC
+inJumtbSV/ZwZ4zLKnrjuHkuh4ATA45b3XXbOfFxA1pWOm6V7NdGjGERo/L867TIV3rDA4rMsgD
QBNfiL2ZVrULh3vQDHVdFVDZKzYiFVgtTlX7qXAjUCFRCPC2Vu7jZnxoPHADZeKtqzEnposdYdS7
Hd1hVfu6Gd91NmzLMO/2fdSzXFa9B7PsL1E+SnZdNwYFk1fmH9xPcBk2U6Tkvp6Ve4XKiRsyVddI
Tj6LqLhM+EUi3i0eIemutvF5LHXyPoqBWab9YavKvWK4PAQKZkuZl304bYErKtffhrk5ejzJmSpa
b4gptrXbN34ZaYewNErfW0j8m+zsKSqKdo2rXV+7PXtxpdiQ0Kq60YnCwFzR1lQrrU8Pwmo0adJN
r/Sk2oc1CEbXzV4imPurYkzvtQYajOiVW6fw7JVeVHuT0e1EzcUeeRGY46oyqDvaxxnDMTEmNX8O
yTArd2zMoKrMo1tXF9edIc44gEe57z5s3SnA5ztTAMZqg3aFaRG3LiE0N3kE8Ixr4WzYSReUVkqs
Vybu7ITPCJ8tAMV44pxuyvNkNuWmsc2D5nZvaYE2Vku6p3qitcI0/7CwSZzm/F6HHOuPMAEqR0WL
AwbTHUvGap0DAT3vT6JtNqWKKUadGVB5cCS4atN3j9o4HqCiwWx9Xwrm4h5Oe7Cbe10vn5OUDt1J
H8TA/LKlynMyjr645sqMiSvaVtip/bp3tmxrP+yYks6pphejoOYDTrNO8vQZD9geS5cfZ+Vr6Gaf
066/Nk0ibRJshBGGMOaSPCmNegdt4naKQZdZWHLDurqbWm8nTG/vWYrPjuiCyQ+xjUbYjBEHcZgH
STOcmonONBEsgAgYPrQpA8M6cvTsJi8X+3muEhsVvmIN/AurI/JthlLVW0L5ZtD5V2NjooP765Hc
XZW//pnGRn7Xby2o9gsWGE1DXafCi/HoAr+bySGvQXZtgqiBfMeXfp3JASrkPwVWSDzI1zDV37tQ
9xdS1WlDSRrhOfAPSTmaKzU0P8zkHMfBkesQs0oj7Ejh3/fKY9qZtDF7fb52eUhfHNbqtwmriOcq
N/XDPGbZy6zBMHW7QT2PMwjVYRliX2Of/Oh4Ixtitcq3UMcThBRVGDhK1zBnqXk+1OpVnsceRD0t
PFkWvZqBmGdFS4tOoF/gkak0pzvF9Q6TTpZP28ElwBGdvUGwKrdpOYYAkBdmRKKdPhVxHB2qOmar
L2F2eqkCcoWXtp6b+dHT63WcG69zWDiH3tbcDZqM8VgCEg7INse82HkhuX7qdWb0GHeSLANUVWcr
FDCM+6Vh1TM6bEjp0tEepOm7QAVh3nRl4dfLEn2wG3mJpygMWCSsk0wcUkCIsqKkL0LOsu5AEV0i
LXpWsxlpg9FsTFHeWBW2fioiZdvZ0QLrsTcOcaw6ATlPRw3b8z7pTM9X49jcZnlpBoOuh7jDafqp
aqHaFIgVwmq4WRqYy4KU6xUkjoWkFCtIMyoYPfKuUoNDeph5d5ReiW+TkRSQItG067bVARM7o9jX
cXvo9fQTokqGWzn9CWFnxJlG4hBH9dJJ7HQcEJDZsJPNVAJTtF1qktCkEP86WcOWVFhY2EsvXocq
Ss9TZ74rGYGwtcpmrbAgAI8lG5c0urMN56ZwIgMf5bTVh/xRT8fOO4FvTlaNnl8PtXapdPdRjVoH
332yF4q6nXREEE7NYFTwOracQ+SDGZ3b1gK4XBbH1tDeLavqsc+Pd0Oc0TYQQLvOVOYTRaFeO5EH
Z7PaDoZ1SifvLEZ1G2s9gOs80tZkiF/mMN2g+7ouloSSvCs2nin5utZ8tmbhi0x5cEnt8pfJPALL
4Ss9+gG9YQ5AjefF7hto8G1lzQ+1R2bJFAoGI5JgB8x8Lq7qzGJcoht2/2a6IHyQzjXxJqwm9kSl
4K4okuykIb6EqDvnFQmtoeE7WjOdIlqc/b8Dwa8DQQ01/F8fxru+IOj2S/fHiaD8vt+OYyTLSBoR
FwOWBW/DCuK34xhxNOERFsW5YZLyhBry96GgiQqR69ggvwI0PvPC/1mRmCrhTpKV/7tQ8h8MBX9W
QJvMAV3PczUstcxVfo4EoSEeIWVa4wUUTpSu0/m2ar/JYf9Ssv8tBur3E5+/AmwuUizPhskB59/6
SWatQQ1M06wVF2MkLKldmVZLPEps6KVxidWmZiFQ2VN2s3ytHmKGDM+sDKgpXNWa15C+J/3AgGXd
UnvU8XRKqEVsgypfFie9rFLm/BJSteSVsp+pYhSqmU4lKWamvllknZO0u3BmmhFTATHl1XyLmkgR
47VCjZTP2atCzdQLsScv9plZCfv9JL6OujZw9XzvyFJLo+ZC7LAVsgjLWWFsE1mYKSDvVx21Gt1E
tu6p3hx3Vxvtmj/vObLVvSorPEMTh5qSL2+9GMymCXK1eA9lVegWgoeBrBRrSkZB6RjKGtItJWpx
pPcQFJgSPmXIilMzy/tBiw6hrj80sibVKU4zWaXG8/jWUrbOsn6tU3EuZUXr1Q4ga1nlhlVzx4Qb
wqhZdUFEKVzImrhrjRu6jIilV/+spMZmkfUzCz1SlfXuI5W1tZswHnMot0vKbkfW30JW4rmsyW0V
fAhiIo7ttC+DRKAb53ECVUssTxplvcHHuaoo9K2RYWWh5/dj4RG0QDOgyK5A53HhaV16lXejtgYw
e2gVQAmqVjOOoa2IujfsVxuPZiMpRn1tTjWSjbx8CmVHEtYuCjSalEZ2Kx1tC7CuN1z2NLY0NL1j
vrmyw3HT5MOVPU/EcQm/wruHHvxhJuMaPtp7UqMaRFC+i2XnpE3uuqKVGmipNNlbNZLBRK7XHo4L
EkEasMSV6GEjHdam7M5MRQXZRMMGMvNhkB2cQisXGzHzY5q7aOpqZOlRvy5DwKgm/IWBldgi1zWe
m97pTJeAjaKR8IanTGWFn8z2R5p6nywtk+GBBAwZEw8qxvDZuSzoWKOUGpxz5SGa67vStHiuZtD6
csfx4yoeuVinT0OaSzxITerjyPvBFPsls8N75PrsutLyHQuCvRka9SGLcoQL5BFOipsATSUmwVE+
OsV9Ie8bWmbG2NaQgIuJsf5C1rVd6UFnzNle6DKmaDQbSFuCd8Mj76y+t6IRgIqdcZV7efaQYf/Y
W8uUXhj43Ne1zlJKvBego6lrciI9xRetq9GpoloL+g55XTZ2x54B2ZNpdn5uh/m6tR9LL5i2czyn
p6JCwKIot02fenL1CO/OD5lc+AOoDcWZGER7BFO0OQg8NF7ryBBEQBlns7UKlrM4pojUFtybMrny
qq2c59i13hOVMSHHWo1MVtsUoEqGeD6y337Fh3Ucu4RY0P4lIlJEnjm3TakFqdBuK83Yj5pyS/S1
byvRo54B0HPZV2jq0RujC7lBl7mIz0vLjgLFa+jNX1Bv0NY5qZ8BXQxIdGbCRuBI23QAZK1NI4Yr
x6mCps5YggCOpmgcKRjR7aSugnhTuZ675rFIvCwI9fadOnaj19OT0r5bPVfiYDsbwyRKfh2WIxgf
LxzZaqf9rCiBOszOoxMN07au6eHTiExTyxWduMoM47moTPIylzpwhjJSmZJybq2yyhQzRddibLu5
aoihYFHrGsVjBlap6cbnccwf21p5ARFt3Ki9tVx44NWbJq9fa13bx43xZQrd63rBe5p7kU+YOIBC
RIB+Ug/Y5tI82RRL4d0zBpzPURHfMUT6jPxYWY8ZxLwG5Qjb5450KopwpjXxS6nzKY7xPdbw1PcM
5dAP7XOvVQu6Q4I0Qpk4Jvj9CCnn2bP2Ms6AXsltv+3Fcq10rnJvp2g459kbg6ip0NU0ZvsUem3v
m51T7LibXb/OO9+0B+hqGisOpGrV2iBDZTuWasz6V3gk2iHhRZNn7cbc0yTA/2Jl3W1rxlKtsk0H
ubFWwrekYpS02No9u/fnRpvuIqux96QBPleSfgmAJrz6rha5fHu8/of08EvFALz93/+L4uG7Nuvr
Q5cQNtZBNuIHx5Kqje/bLDvvhe7qdX+pXII9tevUvbf5rS3kA8BB/vtr/VhFyNdC+mFrNJ0GShDt
Z5Ng21ZTp4/teHHDIMwe6xmK1uP/30vIX+E7v+qY13k+9vl4EdyYM0T7ePhkirv/hxfxUJ7QlVJj
yarr+xdp4yyjwxrHi9Hc1xgIlStl+FYr/2U19MePhbfqu5f4qfvtkHRGMEjHi+neFTVbyy6gCimd
13T+m1di1fzTBfDjK8nf5Lt3jIASq7BJ7b3UWFe1Eu26fugLlFTBUBwWvKT//b2Tv/iPRR6tPgMH
01DZYrMs+PHluigFJdppI5KIZ61jlm3fR/FxLv4VH/yPa5Jt/F/3GpCS/7N6b8rX5kvyZwMgKa/6
tePQzF+4FfFCeS6tBWqD3zsOGQXGDpwgClDKXOVU4r8OgCy+AscQfgtLItuRncCvoiyDUAxECBBe
bO5vmx/4DzoOML0/XCmk0jIUNyyaAdoa5k1fZQrfXZgeERYCr1d8pWSu7lvSDOgus7End7T+NHz1
CnZ11+Bw4T5nmp1JP2E41m36MKdZGnhfHYfIXEy/rEXEEpFYseGGDR/+xF4zpVkxmuqlp6DJh5SC
tP5mazTsBY9j5ki/I85KAjO33VcnpNsx926sToZzK5wN5CAs6X2BrPXB5MLW1znen7uYbRS45DSN
N0KwAa66vN3NMcVqbvXOY6kNqKPntBseRQHdbGUgredpVSJ2X2PyKtcZAuGLkQ2CkW2dvjAKt3Yw
ADEfaUMeXiPoiBBfUKpSLDB9R5y9sCh2Eztce5VOspNarAsj7c+q4hRXjl0OtwWZaAFGCBKFEqck
9x63EevA2v2ko/ZY1l7nVctqaHpo6Y6bAHJLsf7fKmyjlvXSFckux+T0VugKWTWRObflelZrC05h
j4ae4Ztp9GiR3MHotjyxMKv5CalBL12CjirIBmhgJvFPcRngK8UKiq2TcR3S5JG6xWPB5vKfzaKJ
to7aLTdtM6SfDK9sbzyndQizsjVvlfO0vC8kEs5oxXipFN7NS6lEgxpErYq4Owqrvt7HOq6Pa3qR
9CXLW/1+8nqSRNmiMZzhgZzkO9VAMrtSXJwW+1pr0ulQOIk5vtujG717wDu3fUeuap7EVb0i/gAz
ldJS2SiN42du0j7HlDsNdjgoofbS/asi/XZyaTxZ/vrkOlXtf/5PGb3n7+2fDEr41t+OLQzhyDVN
0wAT+qM3VHN/8YghtMC/2wZTCmYovx5b5i9MMKSH20N5iPL9u2NL/8VhsIHdFM+EQwLPPzq2fixx
sIrL4B2mGHCuWBE76k+lQeo6LQseL73qi2CxHPiQW7N++u6N+ZOSjfrrp6NRvopBnggILVNn/vfT
M7sOE+J6Fyu96qo0yclZU8t45aHVXIeGngWp0TbratY1grbdEtNDnK7zJTwOiORvVRHf5AnpG1ac
nEZVJS5eUywiPtBkwXmHhhXBZNCLfT/E52Rg19NrJ3UZb9pZP9dLdZwa4zppooOaZtwUA8t4Yv28
jSOj5shunVeJ7n0hhHikI2SUmXbkWqMz/EhAmuLcZIq6IuPVI7GB758IVVzN2Evtw6gs8JrGyfE7
ebul8sYjmYV7MOtKumvdfAzlzenklvFJL3C3KjxAtomaxbBT+5qzFsBwBpBRo2B3OYoBrst7HEo1
9/tgAKyd23naOvIomGw3jledIQz3cdFrm1GNnm8bZbGtrcZkfqnXgm2HU7OWKro5XKk8j67J9lbO
/Hzhyzy4THZ8lVJu3YqMOrvH9eSBOfcbjtCdkZvZoZ9q273weq3xyZojpz3qczVUPnMV1DKNNV1i
DQlvHc0eUWi2c2AqEL3waDSfBicm0SWflzuzK3sTPUyGqIlidFx2bjyENrvM1nuoKhfbbmmKQIE1
6utiitd5j820jmDzDbrFqrvv0QLxnp9QTbSvbRxBSUY+P6M3W3l1sldozwNHw2ocQWq/ZcRzSNU5
D7xK824jspZgtuPRdGdET5Uo8HZkpj9UAEbq5MktLOQlSzH4dp0sQcPgGcUITfOUT8nBJmQocDpC
FGFVausSwcoVEhHsJnPdbm1j2I1myTBi0tsbyLZa4CrFOSnzM24tGGJNcmNW1t6Ne8Bidr6jycn8
yFAvrTfewckeHmhR3Q/mYquWPGh7nOyPKul9q2j9LKy1e1XpN5HdAV+vssBjC525wI0nN1oBvP3S
tt072K73OZ0fa1imjTEcPEIHOECYfy1bc1LPszsQh8gCyNJPiywZmuEzgZfnulA2+agFRoOtsZ/f
0PGuouotVHvNH+3c2E4OISSZNbxYdvI5X2wzQI7QHroBNYsyLie90PdGpJ9t0ZMNl70IPr62M3If
Fi2RdPaGcJldry4vU9gGUUH6U63WKwOj6EprS3WfWqiPtTn2KdUu/I23wMDh9CZL5AM9xPA1qMk5
Nm0sLqF+0+VlewZ4eoz0iYtZBgrWlERZ6HCVFfPR4yZSIbLqEI8nLKauME7mVD0pbGEy/Fa9Ht1Q
Rp1AMawHsiCKfriJveSQ6yLQQTAEUTStEDLCeIxH8K1NVa2jRr3KlOxTlWmfBEGBSZsdq5yEhF67
WUbNz3HHVSCqLRORRV7Px8VxdmDloFXi9awh61Jd+F5DAGo8oRBbRrSFywz6uCwPuJW/FHPIgzwu
c3+OSOOxJiPb1p7YglNWbpdZqTf//eRlHfLHkxeCwNeRO4tO/vlj+xLPWtHOdo71pc70YMi9mRnI
nPlk3uenrjBG3xmwblZxsS/E8q6Jur2p60y9dxcXzes03fYyVHQK/cxzntSp29ax/VGyofKFYOBH
8BV16gwlZ+GazsMEi6DVrgk7YL9YD6Aw3G6Hv+oz5Vi/TtL2UXfiOmDwQE6RyhQwL9djzQh8r4kM
pCCYVkghW53EpFxHnVo4X+a8uGP+fOjxHi5tfqh7hOCiOpGg4G27ccZOMyc7fSIVtCXnyQ7x5cRm
uo14+vmt2t6ac49mI7YPakw+ITNdlVk0+pq0mR5IGzBXnt3XXAv6tZkQY1/b0DimJDsPAmUuOI5s
tLYWgzI/yet9WJKO1bt4PFHDbNigBlYkTnmEzdMp9eskH495X+x4rjGSFlSj1dxukNhcZ2l+y5QB
HGI55L5dKlD2hUpGbHNBdTZAQfLKVdOkD+Zs1ugHk1fy/NDxcDFNXKBusyBIqqXNdasJlM2m9oKM
wy8MYp48czdyDhlt9aXynJNaY0wjvONLCIKafC6pycJskOUFCfZCnmXdKXHsZ13NN6o6o/9V2E4X
urZO2zkLzDi6NhaQI1hJJMUAARxO2f6xQlt2TBAhnvNqLP6mrZci7d/77K+FiM3MEFIGxml6vJ9K
hBRjx9QMBY5T8iCM9NDo/d908pRM370CP9KgNTMkylMSuFztp3UNXVJpuV4UXeV2CkT9OumTXSJu
mzHlSsjXiV1vvDT4mxvwj4zHn15V/t3fdYW9yDphGopyJoL4jlgXOOX8H56Kz5FJ7RGzRUEJaJEs
YuyHHrrGMOHZyEuw7CoSo3XZLM+V4pxYcKtrRv6b3Bu1z25sOn6hpg+2W4xo0uajk5svJK1OBy1n
e8rVVFZBvzhl4AoFBo1gIIk4bt73k2N8rsq026BbNYIkSd5yrtWgVu3Y5wSe/c611fXQe3dEYCxb
zsOHPhr0fRGx1ULdjrV+x0Ppvm2ajd2CWtatdGeosRKk7N9X+ViWiM56dV1jewbwI6k/yXSrxyWY
kYTIRSOyUcczgm6Hj7pF8tqKZN+Yym4ezftpYTquZgerw33XSJdJEhqI2jtE+XZv7bMlPSLc9ss5
1H0jV5l1hxmnrPo0qKiSk7QgGGfalg1g+HDhClYh1EdA+Q3hV2nhrgS0HL/Jw7OQoaaWs9Mqspjd
aLqLbWy/+Jju+469uWF06npBhqwIGCBaX73aUX1u1OKmFhikuqnDmXgYLAyLg2XsnJJwE6FpD+Uc
76YQvzzN6ZWweUZC+Ng3jfmOjoNcahn1YZnbSJgnZ/w7jNjXvebvd9Efr3FZiH93tZHv6gw6uuhz
eioveBM29bF+HLckN+zsk8ujZ/2mjyvroJ3LT+PfsPe+Yuf/+OIywsHWwUJ78gb87sU1EbtlhlLu
LHxrVZ70tdj0WJyOypOzUQP14VpZn56GIGV6/cr/5FfzSV0dkk14ZSCe+5vf5scH37d3wiC7ynIN
mzbqZ6DarI6FqWlpfBWrF0xtgDGemmH33+/uH8+sP76GnAh99wcvTYFQJM5jHq7vUbPz5pv//vP/
9G9wVMwyGA4ZL/30aWJrWRQSDnl4K5eaEMXGoub8dkL9qzjT+DT+un2nmnlvktf8T3p3vu+33h0l
A6YmFQXZV68nF8CvIgfN/kWjr3HYQhDFwvTt994dZQQyNBXVAd8I0PuH3h3NFBgmHkbYRP8h1+lP
qjvMTjwzZG+NGdTzfnq4UEk15aTU83kyYA1ttEx1nbNwCOj+UIkGs+hCO7VjrWjAhVl2xGVlY8me
PmV1YpvZbaij4ndJZtw12uDMKxRcb5GKtbzywtdGy+6yMCsuMyYjdMi2vmEsG9FoqO25su2PWLis
+sj5YQzfJhsgHCRit0kTdPZI/1po1mnBMb1XyrxDZwCthLqKtIJ1mkbNlaBeZY3lnSDoZEfSDkuf
Mdm8aSzW6F1N+kReqGJdeBoTU/hVV+YwHzIrOblVR2Z3kmebTPHwdmNzdVnq2whZMxJyJ8+BcdKx
/6tZLq+1zCHcfWIVx+ixxIqkvDCduxb2VB6cuL/XbPKHwgKnPkQAsY68WblqUvsNHRa0t8rRECul
H0uafsL2j07JHLSClAonPAkznR+gXYToa2MoowYK0jh976JFf2HfDgkI/f5msPPad9qcSgofI4Wd
V3pHIke1wB5V5WCKST1ZrMK2SayjnmaieWoc58YlZu2OJfR+jOd7RVjlqjJLc6u61Y1jgy3xwqZc
o/+z2YsjH1mY/q5MdcQtO2fKSYt7Uk7mJraIc4hALqlGduxCBIjbqPjKAlyaxm6uYz67QYfCdZ6J
9gDwFGlhBBSbn+StsTN018L14ABy3CvWXnSzfq+QvpTsEY0th2YoveuEaNJ6VS0uaASPNyG89qAk
QCnIvI9B87KTDjCKMArGAgMLQv/rTfvv6WVSnf716XUXv7bd6x/PLvldv55deNgN2GogduUB5tjf
rUt0g2RvF287X6EUlg/y3wVa+IEs1ly2a6ouJ8tv6xIEWjqLF4wAcor5FXr5D9Yl1tfoi9+rBelh
Z+cCGITFi6Ej2v3p4cYQUTUE68+LmjuYUcyeHBVzfBwcDHtdrVwLJFSEBCbnLNenFbPCXT3z9MOW
3frMUN6rPjlDyLg3MxST5Cgj0TQ4OdpowWlp7Ny839hdGBSTthtH/llgmaJJ8ilfXloLJB1+iZVB
tmA71a+IFs5z1787uMlGzwg6hbi8WRPnejLfWDttGXgBtmvBgClJ0e9S0ezwPhzbNAoARW0WYCkK
aUIr9LwnW68enHG4GnWCqObGTLb4+F7zRt3oqvocq4O1cUKAd4LQyW1DphKB5oRUmyCZrIn8QjcU
R6zcO89IgyxO78IBd95E8xUMYropNZNhkCs2ow2HhxpbPRqOTpabOxLiV2JGUgrn2jPyL3oSi+2s
o2pNMA4ACQnvm7z6yEU/+WoJcgvuxzljaOInEVPYchD5OhaOtUZqMnN8uAHQz0NsdeQGj/lDZzXK
oahLv+cQihvOshLFMdshHglWd/ZK/b6O+63eTTcJyW50Hwoa+2Lcqov7oSlIdTCP30wxOn3T9V7S
VLsFP6+QKk00UJ8bxXq2jfulSF6ysoZCJDEsLjMBIwH/opGWXqsfLSCQXYq41NeTfg7i1mbJFBo3
fRc/xSm/fzQzrl0i+m5bmLve5tknSsMMirZ/r9JsT7CMP2KiwujOgdxpTCUx9qORaWHF04BXZfwM
Y+h2asxpXbkCH6rRk5aMC6guIQp05GH5Y8r35UbHwVZk5rao+mvGmk9k8PK5txgeNSQ3aiFetD45
dWlyahKPqWWkuWsLm5Rv6iQxecyn14WCsS3tmAAZ1VUZeyeijLDRQzBZQVi4UtPqpU5rnl05z8M+
YdSFk9Qe+UUJsyGVIsfypqkXXUf4Y0FcIc392ET9vi3FQ68M26otz3FVbYDMeIzNcPdH7eAFpj3K
hypPPlcdnqWTph10BCvTlojh2U9LbMClLaPr+Ktm51LVI1M1b7hzs3zTqYcaNvJwDpVkM6vePprK
a80qL/pALqGFDKW3PcB9+P1z2Hh93xA3Rmq1vhDyZ6dg6ZQiCfEt4VyuMcnALMw3hNYw47DJDBxN
DMSFOnzE2USyeWEQgyjkrZq1n6eUEOTKRUU+9YTmkY4tB/NbCKv7WCN9cwnNomGSYyDkwWC4VZQp
CpiyAa4im37jKa6BCklnuhJ3B1hW6aYYzC+91WHZirMvlTE8s199W5wRE2NLARAZ42XuU7GG2Tqs
587uwMvrZGxbfak3Rz3Ku6PMcPclP26VTKjAVmXR7a2ySO2N0QvbehjUzMWCaDbatjeZxJOGVPKc
dqZmCdweo2jgloqJ82rQDZA6LtP6VWNYS3KFs33u7zy10Lq70WsU49hPPREZVpnHzw2x48M104Ud
MEPmWykD8EraNxNp5KzV5RVAxW0rLZ5sNA4mxqtNI+2frmIfLWdKfAu2CPmM9ltdVQTddzYgSfyj
mWKT/TjgidbQ7B0MaTOFAYQTSFpPZ6v6JELzNU4bnVEBpkljqT86aVg14koFFUhHr0o7a9ORvjvj
cJ0F4daJBygf76tZNjdK2B/BXXwakvFjUQhonaR/VWO8GwkLUZwxHeJ5b9HC4c8Wr0lW3eJoIpOW
HVBAo8ScsCORVE+vQvy5Sjq/5LH+sUjjbhtZH9lQPLI49ZXloEt3r2k1QRg1t9nE0aPGTPonf8qP
eeyc1SwHiIxFmJwXhI3SMyzdwywGGDdgKLadjCBby4sCFbOxzhMT6py1sCzuz0QCHT1rkkbOVDAA
qEt8uWq3NaSDWZjCJxkLNSTJhbg/lXv4U4sVPenS/eySyumjCU19N/NGXhw9u4ddGmgmCt0pd31j
xLE6uriqi0mMgYPRWrjSUuGyCIk05zoZyzOEy4LIIkquMoHQ1e6ivnu1vXEOqM/uZmnlZtOeB2BA
xNpK+4dQGr77sXyq0M6nSsbviCe8l+Zw7jqTa2DBMC6t4w0eciz7DxzQG1XkJ4RmMDgjY4do9aEe
kq2SYEMf8KNDX7wMrrj1rOpzIg3rbKGuTLU7EpgYrofSDLfhojUotJp9pAw8EqT1Xbe8dIUuCVfW
TPhThI4PVde2tZCuJmZLTm9/oRLZlHr3SCexQ/QG81Xa7efenIJMWvBVzcVSwEZgq0R81ZFWfTsj
LlRRtC2eQnff8YauW7KfVSHNrXj9+xKpcG17BwcKALnKakDE7jmTgAB4fxHiO+2Yl569nkcWDTCV
82Ok6RdbIgaUlkqX1V6xXySAgIgxDQ+ZhBI4xt40kwtbn0cFqttGKXEBcshxwKGgXgqdW8JyL3pD
AhmDyYLgu+mtrKInkkqugcO+kTv4NtnqRgBNqCQ8IRK23+HqCAvxrFZgzMzmbgS3QIIdCmz4C2oe
H3WADFGRQ9/U3z0K8ghgwyLJDV6nop6Vh7hibTjr4/W/Zfc3ZwS9+l+X3edXlOR/rLrlFO63qlv/
BS0R+35GThLqzJd+nRjIqpsTXOe48FAPSeXir9t+8NE6KiWKcRWhkmowTPhVpISyCRODiQyAsTW3
jPZPREr61yH3D1W3zIxn8qCb8rfgB/44snIRFICMVJdro4gfayPvIO/MIIMFzzBtKTZubW81OInW
rDCJ9h6RhUYrtadGxM96n7rm2ai6fZGmARLX8P+ydyZbcSPt1r6Vf525aqlvBmeSPSRJYwwGJlrY
hlDfhaSQdPX/E/ijyuXPVWd57mGZSpyGVMTb7P1suQkC8L/blBXaXVFHFsWweSOMqjvrOcDglZJN
/Nkm+5hr0XLG5EjOXjmhKTexJ1H3Hwi7TrflkA03ZoXfirjWW5Xrgew4X0UelETC4TZNQq3TTvXH
eTbu0bTeYWsfVqZNaI3ZqTPfmK+SNDy38ASAdP3SAYb28kqtRGZ+aDKbg8S4t0dZbZLe0ZlkerXT
YWqIq9e5WziHyCyM3UBs7I6RuGdPV31nPWNPn5BxOcOGxv1rq8pl05vsKaMp3AqzBwlZJ9YuD/wg
JpDXnc8UTvM1MYpHawiunJxcbCs5LkOwNi1oJGOZsAi1x2M3Np8SM3o03ACbROHc5LXckjF3n6cL
XOlsues7opgHq7m0Ym2Rrl9t0ABEw3+IhmZEGFBeYIk+s8r5PpfD0ajHV7Pz5o1pzERJEn2zWlKg
LoaR9yunyA+tNBDVJ/4aTKC9iW3G0B6z2it7bub1ggRhPfYkvSY19jsN06qBrACTnY0tYZrLuiIU
b+2bwZdkFueVY817BGUwKCbW46F9FvnOgRrvKi6YSDgsEKCsdG1D/egP5b73MBeswHCeYQtcS+md
+olS1qnpWJJq3Llm/DlHQ5wXExxnGpOsmp6FTz68rhvrImLjSuegMBfjrDGezQ47D7GNDvMkNogy
emE6FZ7Q1hBobkJztofEvyiUg26/6m4Tyf7e7sv6aNmCmzOIss3SDQfAAQvi+8LdFmOwCcvS4taA
tlPw+b8cUJsEhnuGr/AeFc7BHOx7NVJjiUSam17aFgNrO7toKroLQQu+TTx0p/EIirqaoI9iaYkh
+VvmZTM59g02k+CQcjFFLsGXSpyXuYzBmtnPjBa9DWOx9CqAAUEb6O7msAQfIBWb8rRYe6r6PEtC
OseUOwFkWoSwXiT8PrNiLnBA46mYyv13h9pP9Do/jJ09IHacNh4DZx9VEFKjv58RjTNBSDMi66oo
73L3KxCN/3Pb95O/gqxDZJfgpCx8VD80/zPyRklJ7V5R1A/59dx8rKJv+Ua/R0NaJvbPd9QZhJGf
XFG85v2KsjwEaZj2kKS9jXLYtL5fUQjSdGwJt9Q3szTz5PcrKmAS7kY2p5nzRvPiS+9XlPcHl0pA
t4DTTutyfxFu+PdoHg+JesRVqG9K3gW8ox82wQ75npYYAVyVuY9+BzjAZqpL/E038zcRZvpNkukm
o4lAk1BdtQUBZXP5UBmBXHLnFFsw0RjtfEVKLZyTVTgor/NWFqAwQqe8InH2Fn5YTeF1i1QCoY4z
xApGHNXV09L5g3sdDEPUVZvAbEb3OHmekmB6aDnlM5KSjpO69+NAoi1ibR0xu4IBv89kE3H8mQk9
cQekRSn3DurIGhVmsWoHFFErN8+wu7VqPALkmnckDJBCWuTDB8vP1Wez8rzmDKaR+Dy63bQrpFle
pH5eY6+q48vM4IQYjSw5AK8sNZvBmW+swI7PYBmrU14F6tLKxn7TQdOvFTkJUHLt7jlM6fyLHogu
2hrPPku8rP/IGhXoblJ5X8KliPZjUihcaTAT6iXdF4brfAgXs9hOOm6gGExmLqGFisDrexj2vkl0
kqnDz+DG4NG2YL9KWVoKS6DzGa1sf2hjk7vVQhO9iZCZPTlLs1wny4IDO7cH+3OOb+k4tFKczejN
HhxPOhvMCyCxybrcLGE5XA1D/oUfaXXGnMC6tWRqsgqGY3RyVRoBsKmTS4LRBfI0L730Uin3UVR0
22yJwkumGt6BcRUumRlWTgIp8QtjkOLCU7G8Hxja7GSUVWtsefaJoWAB/z+ROYR8rnMGOP4NJjVj
x1hcXjsp62Pwt/URgvZ4lDI/Z0i0bGfwarvWm6dX5SbFIWxKcT7Vqct7ywLjlMY+9LRUFjUqEOYe
fc90v53Dat8IEP3gv5bV5LFLJjU5is+LzvDvsdp9qs3EvrAR/F7x9uOdkZfuSdY2ZKauM6/mJZnO
i1BlZyIFvlyjQcEC1swfki5Um1GqdjunA7CQcYl3spVS/B66/0fx+69D9yM+hZ+crN+N3HX2k4W0
GxMAg22CAf86WYmBsSBBsa0zWdX5Aefx+8nK8flmVCZMkLH73xwKLicr6TFmoG9jj2CoXyn+A97Z
dwIYJu6AG+lIYCRSrVn0GX+/1wOrEVSiC7HxMmDeMyKKRbiG/jNo3WgfjOEz6DwFAJEpizUvgAvO
SxkOxA4EWp2evgnVkzfROuNTVBDZkClz27wJ2xvsn+qaVLdLwBPpR3jicBdhG6KGl4tkn5WgkGc6
eDNXs9g3pLBbW4FHLJ5XlT7ibXdJdpDH+LS2CG+HMzc2yszZWn1QyMcScQY2walYbNDkzuDLVO7s
akqt87JUS30rFvZeOJfjDAtnLbp9hMxrg3eACNqx9zfAK7K9kc/tVrWxtR9zqjaFmWJv5n53D4lj
sA55NPvL1pED6fSzHS3TthjgWLFQjQ2Yp25jkOXQLP5pmGVSbxq79m9T3+9wVwTERPmwp5BmJXl/
S5ZiF219tymuJpwM9r4N+O8ZLNLDolwmH00rclg9U1IHZwS3OObvrf5/7ET/ii64Rlr3LP/7IdXL
p/fyhydRFxh06aBkfkCZWn8gPGMxhpeIhly34e97MRP+aYSM3Q28d6bBe/kTwaUJmFd5b0FNyL1+
5SFFJ/DjU+qyrUH5z6GAQIAK+e9PKeK7qnJY1V55herzA50cQtqwzU8ZfmFXP0rJ8immgbDbvtgr
8P8IUCV5YnBAa7GP4gIXcT7ddX3DsLTubvyxpvMwj0Ms1n45kT8jN8twIDjnsRZY7sUuCcWVlUXi
VKcSjJynn3iLjIpc+oji5+VroT+zs4ZYuXH4GLiACkLHQEKm+selLg84ucXG8cbrVPXOtqWV4uvm
cRmJbaEhPbFqBNYXFPeVMaDB78yXtJGvarG/hsir6PqxYnf2dFuGk1rnk/tIUMcnBtz+Cl07s3UG
0uMSXVb+PB8NdAu+hWiRaS7XZ5xt8HfxP8by1YsHl/+RCcBoUUrQ7GZ2mq6AD9qbMkH3vNTOFzN/
8OZrNkcLGUhrHMjdASh2QvgToGrlqNlde7k5lauKeXC/aSDInnWSZc+zlbr4gtKpK8kUGYHeT1V+
oOFtt0w5oLe5U7M1404x/o6mLdAY1JUzbnLHZvPNvrFDeClUfwOnn7nGUnQ3I/bZPT19Cw2h4Eel
0aWyY8qetBlwsConJ65lIrh09grJNY78zg2JyCAYpB8SD2N9XTLdjb29H6j5hs+mC0AyMzeZGtdJ
7dfnUbFgMsvd9BSTmLdR0SBB1cATmDrByesWDIRbFoVIw5x4b+XDqx3VISJfOI9tHouD5RufRySB
kG4idLsjg0+LqmSVgr8/wPJ4iYzaWw2Uutuq4aPaRe5ZYYIKQDZRXIeOyLeov328B3O6jSw0DG7h
CKp26e3DpH1hPxvtPe3FaDujuAZJK875yREJGoPCD9nbsM9JzUNs6rWnaZiriuE2VWafdxsrYC9X
dkb1uZkr+PoyRU3oUfVihO6Oiqn5UaiByyABnt9AJdk3vV+w6QT9F0vvNWWUt3LnhPWk6+xJ/4Ht
ZyKL3GdRQwRIGLqfTYgzqyQuAVGWAP1Eqet66JJsFLDH8y4rn5nFUHzmmRPnXWabB7XkVb9NkECb
VM/htItGr8teC2ZpB3xj9k2tN0a4cSSajMXsjk5DuJg5fSwMS2wIX0Q950Q58RPt/WzAsDCXWIOV
VL2VCcOzUT4y8P5U1GwRIWirbVJyV40loeGZCeAimLN7q6qvs1amT3O0IJJPRHIxD2GImrdHAjnc
oDgJgWEW6LWroD0DQ/FCEsfTYMY7JcJkPUXGq8p6yagufXSM7Lxwi4cJXc/ekQbLz7LTh0h04kdx
NiD1qHlOjYHPRV+GH7EjXLcWSYUUIaSN1ZeB6X6x/ejTWBjTBloPDLYuPAu77kBE9K1cojtU5fHW
7Ev85QMYiWxOEX6m896xF/AtFWSRsKyOigyGLkw+COZdq0BQqLM3bo8ey64pg36rKvuQ1sl5HuCo
c9TJgGGvZQEhT0oKUZ4P24qxSsWWKko/Z2FVPfl5nx2EM6bomgaHqUzknvsQb1jHsxRzvfJzJNHp
liYUEN9pr2tl3PpSqn2GbOZcVAOPMtP6bU6OJG/J6HFx9/6umTiT4lqJm5K6cEW5YtwM+uFZTIgs
nf5Le11nZXEa7U0UsB8K0TWb0JYjE51u2MuM1bbhTdG+ca15u2RJyKPNMseMg3k/DXO2jSUQ3DQo
XayjGaFTnfcqZ7GA7lzO5j67Mqv2iK/ywhumcuso0947yim2jtkQJ+tqxRb++n3BGmNDFk19sP3J
02rVVZoUC0rV1N7bzsRRn/Fuk5Kn1laY+gF1Yk9MdLxYwyll6npKVfxLvW709GRNrAYW5HsjQzaW
lUzvWtrKNd02zI1A/UfW/XvOo2U5/zznueqecR/+d6mjX/Ve6tCPuKhG2WwgIEWJ+PdJD5pFLHlU
Gp7nao3iez/iYEpElIPWB5E8Zj2+9F7qOMRY+CgNmS5g4mPe8yulDhCFH0odPUri+zNximzXsULq
re/1s5Ak5lQFZnzqIotaZSnyaG0NUXw0ptY8VoHkoDfMeXhys+Q8jedHGAPkdxOE6ozYEwzlKTIB
k4JdYOuYGcV522ynjKilNVV3fS+6ESsHMk1CViudt2q8Ra8CduueXbwqL7T0MTlNOqDVkyNie/Yc
FfJItIxp1m4xQttEE3TuuGu7LPLPZ+3+i7AByjdDYJ42qE0y7ROcuu7VQEXO4gEPIWSika1C9DVm
m08Fxe1mOFm0K7T7kGcU3T+GxGJAh4hBUXrmacGwaDkLSXkR3hHjwiWyyMLYOKXxgmgE5cRi4Xqs
5ThsbIzFqA/9vdkY19nYZh+aODxS7mVrX/sniY63LioJ0sQ2VL6d/SwD/WdQKLXD1dTLKyMHy6SE
3ua7gKTqmitEMDFcFX7PaDl15u41d/rbtDBv0cCWHlCQvro22nw5OW6+K9tmx4IyeSB3aR0QXkc5
Wp5GtxAM9pPXQDKjt5uA86IOYVkPm2h2ylvD99SuCTUQp13sTdeV+6rVfk2yQwHXESm4BP7Gtqrk
aiQdDm8GwGWmQrt+MhAAKA+fDkHy5txB0B/A+NmgQVPjZC0OKksLOc/QuHeScVOQ5EDy4LXvzIKI
0oJWFWNmR4JQ0DxSJHJNWUaU6lKCC0XOXfZrE3RtNcHJ4vlofC1EAf4PNTxGCGXmkQQSaybNzimU
/Yx1gpC/Ocf4+vbY/z7/LI6Lfz7/jmklftLp6Rf9efxFf+hVLGMXDAn/NY7Bi2yygOCkQ+H91+nn
/6HNQUAhaCr8t5HLn6efnnMzoAls1OABKpNfOv0CjtEfpjGaVcrCFzGlz+pXT2u+Mw+gWuvnvAm8
ywQJTHdnR5xjpGDNpQWO3hgC6JnSTk8yzJ2HBo4cWTuquDGRy7ArLkpCCaYenDfHp7+CRivbs7Lu
FjiVsBtXA4BvZytlfM6Nj3gKvceS39Sk7zaqpH1KniZl92sO6MvZR23nVkT2LoiCVigpPlN0U+/r
YF807slqNol6IPMXq1K+Lu2cIHDygBMrfmA0S0JwDe1z3hRvycF5UcN51nHC1LyEiW4Svqu/roe5
r06uMfuQJbJD6qbxzo4LRcmHdCVGevjZzpYnMWb+uveBo1tNtZMTYpC6BJCcGQd8Zz2nbPXZdHhc
CwPuI1F1d6kwvtinpppPaJ82kxPw4ykWcFRF/BFN6E2JwiNCipYtN1bv36lRfvJDsUWFRDLN7wfx
TRTh/euDeP9S9UP3EzGyftmfj2L4B4QDm3MRzjtjFIqUP3dOzE/As1BQAHbhWfiuEnFJwbZsdMoI
IHz6y+9kEc4fTFtsHkaHUebbl35FjPxfjyLzG8vyQlxLHs+jflS/exQnEyhH11XDJUPEtWaLCkkR
HJbfTup/ZCTBW/rvv8izkcmxWcWaZP6ovrCKfmz9zG0uoYlFd3nS0kqVdP445NGTdGvnzTnPY7vc
ZnaOtFUb62E0iMemzsJzWvboaAUlmtZvXnxc+c6bP99/8+qTtolvf2R3EV6ruB3HXWbVON9duhuf
nMIrmHLS2qZNA+gOYvswrkNDQIdJZQylO5+jrQd1lQys6otXuOoy0BNMd0AAxgOZF+QQx8R7FeOw
MgpZw95LVe1cmaPl5RdjkV11fa5WJflccL2vSQ198WTztWrFLpbmx4AU64q0P8/w672NPHbF7Gcb
ufEuKhFplmfxPLcbJy/TjewwW8/ta0KvtzTupWU3r4Mz3hYYCTSWL3skT0puIpEPJxJ6u8tWev55
kUanhnzR7bLYEumT4by6mawObpyYl1VPbViOgHJS4lLpZMITM51LWbFqX2w88yJd7H1fBXezZTwU
dgLaMEu8jqWNsIPV4EB3EJQ5W7aWTLdc/S16G8uN390BUiQT0w+r5IMUI8pniLTbaDKnB5aLMz9F
u8YtmENydI0Oea23fGj9PjxPDMv6P/BoNg/ZD9cK384zcRm5PBx8rP/+WW7nDpDCFHaXcls+o/K1
bpdbPOerdt0fqgOKNYgA23IfbKFLYwR0d87WPsTr/P/4rHs80d+9jzdvHHcoUiNP6wms8AcRATWx
GgRj8svYFucUwNM6F20Mt9FFxBjkEfqhGDGu7eOkjkPzJIIuPrf4Hfk5a8k5gKkXQ6YmK/epn+po
J22ymfq+2cXh8hR4scfohWlNvEyf2gLtrd218zrg1ttMCvSAlaBM9ZJpS/e/VxbyQuro1g1jUMXR
YUEGNNv2Hn2UtWp7JoNpxOSwrA4Za84asR3o0marlLiwY7rYvEoR4ODELkuS0HiIL9UUOftWZPlK
OuJOqPqArO80TKGpQT1sFfigBVGLrtjMbr+rc66/ibX+hYAH0ZaxtUndAnkWbkyktRXfnVbRYquo
IeD20hzLbM9BAC21I96OMfCWHGUGWq3guP6ztPrJX2nrYuQv2Ri/zR/+zh9+m8Y0Bt2YC3lJDDMV
NDLZQdSbRQYHtxxONavelfC7hsq+XXsFyQAkqszgJwbQCIZ3Uafhg5kCmx2l8co0cte07Yn1yY0Z
L1880T4RUN9uWngN31ygv4tj91/v5Nv0pfvZlaxf9X4l6z0IFjsi04Apakj+X1cy1iHkqIRbvvF6
3gyM78OB6A84aqgEUSOyQ6G2/ms4QMYlukbd93DuuFr6+AtXsq3f2ncfOe0PCmwtpKQu4K5EEfL3
j/niJGVi16l5hViFI6JcdBzxUy2+mhHPMAlvnV9dpCF3Uaoi+0I1/HlnB1e+VV0NNKiUeR+KYXjC
MrJmsDvtZZ48VJ23B97+walCrgoqShk8Er8J6kzHuweY5DxWo1z/RFOL4Y40i48kR7Y0sSgP2tbq
N+QWPoIPQRRuHz2GcKXVPi/A9K1sebBdo12XU49npuL8zwISuNKDHAA0Z9XyYIngoGhN127eX09B
Ar+husM4dxFl7QMFULnKPfvVQJ5NDXKfW4gm3QFsamTslmC5BovKPdQ2+ybKhjUekE2Y9oQHEYex
CmJ11r8RflBTC4bsQWvsOjmGGHDC+1bhoMK9R3zmAPBExe4xMxElZMo4+IoTwwLAAmNt3tfudGZb
40o1/gfVDB/mvuzuCm9+Lhoo0H4bnovE/ESw3pEAn3LdmNNJ5EwMlQiMrZdVhx51CofDcHRdeUaQ
QY29xzufra+SWauIh7s5hPk6uxyqGJaeclMydWidUxGQlR0Q50KlePfGs1OmS7gL1UEvGZrMaoT3
Ms2HTM77EPRnQ1DRIPmZCVG4GzWLzO9WedaP3SXefMZJMSmkyA+hOB37Op1Xi9uY/VkdUv33AWHH
FqHlGQ5Ps8Ng8rbZkW9bnmJs1VnWe3aPmFzvgaa3nVBp191mLlyuz4RDjkCRUzm07ZZ87y+V3i0Z
esuE8o99hd48MW/dKFZRQPBdOK3tqxbe4jEigFPvrQK9wRJe/iFYGuANTnBpJEQ49XbD9zAxxRjJ
Q8EirNIbsXEabxu9I4v0tsxtva8Z6zO8DS8okebVyGJN+CzLmLadTL1zyyXBfHoLR2aAs3VZzE1v
G7ooP7hJ9xjmXr9zDLfYeqzzZp0ExDiJqNZAfZUhgICqUDrgDINTpTeCpt4NFsK4FI/FSHYOMtAp
++qyR/TYJ9qVYGO2HH3AD1nd3IwOJjrMO3eNmzYrn51kwW4SS3S3Eqb/KW5QrHv8SWipT2TV34A9
XxNKKi+UfET+JFfxbNTwjoNFg0BIWjNJpzKIkibQAO+QkSBl6qZxNSh+41nSfhjmWpzlCVpbv7pc
uuZ8qppXmCjdunDhQO/aOe++/O71vgngqSb+rAw2z/3z/6O9Ix708rl8+d//uXjOfzJytnjNn7eK
1r+bHJnaRvpNyf7e6Gn9O5ZTOPkc5tjLuXD+ulU8FLomBz5fNN/mMe8jZxpHtIU0eazrnTcQ3i/c
KtBefrxV9LyHmys00RNgi9Vf/754cpDMm23lXeVjIY6GKNv4dpowHB7Ij8j3CowfSVEuYWGwrgXY
ujO3A6LuERdyyGO47+VsA5tVJs7zrAjNnd7ErFANwMIvrYvQY7aoMnZNuajOjSjzToGGc5KYsvNL
gcG7z3fREr542QgGAzHwhu30Qt4vkLNqUsesKnZGOCZA6bLhQz9KrNaT/1RMWP5klkRbZTH9MGtK
2GavbPGhtSqIeCzpgZhBKq/K7tAv1iXBhS9BzJ7PCa8WAi3ZNt6mIXDpWj4YImyOVVwf2yQ66xI3
PbMi9VCwowmN5La0vTuRas5nyOzHBe6J8E48Inw7c8IGyEv86ETF8wBUkgx4SvocQtheJuyQWafq
M4jowo6KPKijY+uAf887m3zk4rIF57cKMgGKzH3ukv6qX6rXnh80fpV6vdSKiyFugFvmwbqs+4MX
hTq3ZkXVQVzyUrE1trO7oHGsjRPM50tsPIRdcgM2Jl4nfUbGWAWaLpALEx9GXmHFpQeoj2uO3ZZq
H3OER0j66rXnAFMSM0su0SRfZDl265ld5aZC2+4bMMJgCuzL0L6sGs501RcJhLLuvokTF3za6wDv
6uDnfsQOmOgb4fkb5GCvxkR2IZX0VVsMSA1S2ORj0H4Mu9C4MKLiAA6PvC55iEaEAC7bBnyfwdoT
FWmgppif5mo5D4X7NUAIuc3GjF1IvTy6nGeecJ8mc7lpwXuPnfWoGsh9Xc+kvXTpyRXdFP6myzKY
D7nE6Nm5lkScpV6mkHg2Uunw4zdil9nDlzlBn4DodheM+ReIi3w96xp2IKTsfR4RxlwgdYXfX+rk
5Z7QC+yyHnnM/Pv9QznrqNHYSwlsHstuxocXBka3grTCb8oOcIK0MS/O9U98ISSaHW6Pvr1PsV4i
lECIYLAIbJLkMI/m1cLDcDOHWQBkKFQ3DXpQUFf2ueNkztoV0cpp9b2dNsZVJgThfpNZbx0+bfiy
WpIPc2smSNpJpzO4/t7Ka+v0PAynZR+MntrWKQE1M3aMlckgRPXll9AUV+0owJLb1skZ8OsFUXRD
lrrYyCK7bH0aPNv6hGJ4vu0skFiVlTnIbEoEoJALrLjDfg4akMrTwS4Nk290e4aSGFfQI/DMAvLk
c2NHxiaoTEpCNYyXpetuJ1FHq8CYTzkuhRyjNGUcXnGslyZBF/JzNxh7C0sB1o7urPJZQ7teeI5Z
FVCPwAxYAxpEf1F1TzZSPXJCqX9gMvm4mClhqyQoNmnZNTujKUrot4v5pbXsh6wsGa2A99yqToV7
og45lfLC29cl+cLSyExkcC2xdrb+/cZ+SYkUH/EC7gulLlOeqLVaICuSN5Uo/tUmXjJL4KSYgViW
cb+towI24dKhno3C9ZQEcEbCgd8QvpwGJS0QxnlXVuVN4qWQoABH4aimchTgbSnX96mXP5pjtx8M
ebvk4wh1syPKRDGZsPKTHDryfwcUAWnQEZ7YHICYvQon1ru6ethAOOaBJUnAPoVT+bGUWXGBC/W6
4icKLCONtmXN+Ea0JlKn/hNj7p1yG1RQ4ctU2xb5DOU54yp0sta0D3z3W5f+u/PUdpB/qxCkfPmZ
TJZXvdcIVvQHcyGWLxBuedS+HwZraIX+45ARB2vm72Sy5IlTUjA3BVnB5uatX32vEWhKmYfwHSkU
vvEsfqFGwLDwY43AMBp/nEdFgj+FqfTfawTQZ5PBxkVdQXuWwRZ2KY3CoHsGMTNjKez42C+5cLZz
No75vTVYhrlB3Zv2Z83CVnEa/SW/kEQwLNuMzeayzVVTwYUlSdH38HkqRDpEocbLlqg4jjjMAofJ
t0T0+s3rPUtJZk6fIrTbxDPA6U3R1LraxaaAErX1hb3gEc+VkSJps/COB28+8tImcXGL8LHE5Ra+
SdZzTOdv/vNuFK53V1hG4u8CjhnUvBw4le/2ECzH+TA5+NxflZYriTflkhAZBHOH7f2BYp5QtDhE
5KTlTtGb8gnz2Lg1CuRQUPu4nxNaOrM0yGDBafF51CqsRUup+jdVldcKF5lX8uorg6ixKnyl0nFR
CzHQDRq+xn46XRkjYi0CwtQxEY08hvpQFSl9MAAhsUIfz/pHS77sN/VXqYVgnZaEDZpLhJjAPISd
Sx2ipWOWFpH5Wk7WaGGZq5fwhRabAXV4yYPF2ztaiNYko7snMTvdmm8yNRFkNExDcZ1rERtqIEhS
yNrKtlWwXpG6idB5SbT4jf0WHwut6SmF2xKPJ4KViVqO6DVx8JdiQHmAlC5BGRCoON43WmYXlBR+
G6XFd0VvE31Zl/I80tI820iyE++ZjlYL93IUfKmW8lEzc+RreV+khX5KS/6kFv/BYMwpRxAEqgFd
YqVFgmXoPBRaNii0gBDqHIBJbWSutbyQ3EomGVpyaBV+e0PEDtolLUgMtDRxma0W87kWLOI1KHbL
m4hxZMovtbBxsoJBe8yJc9WyR6vAVIzaujz8bqzeGiu9VPrnY/N26PuXjiPyrdk6+/q///NN7qxf
9X5scjZiILBsqrM3lxVd15+tlYVmh10sTZXF2aWFNH+1Vg5mY7TElOtAw/Xp/X5sYvZyXJ82CNPB
t8P2F45N1hw/HptBgCIITZFrmyzITd7f963VaOPVb41ovqIBkzvTKKqtBBVGneaEccvAKJs8IBee
Yay9uGpoooZbJkl7L8xHVK8Lg7zE9C6mCt7EmBHkPkj33GV/jkXZQe1vsa7xayrLaWybG5vCeMXp
ZRzLWXjI5eqHaLGyteGZX6qWzz1Oh5syxUgaq7rYGM1I5pAIrsDa0iXVo2ZNBDmZ9mQ6kccFpyQF
QlCV9k3uGMXZWCogmrG3NYFoHQhfQtnjxPIMhWwVIkSpvHXa5B8ofF9U3t7WTKOaUnWbjhPgLAMi
cS6ioqAYi5orAqCfkHx/iFq+S0xpgw1cAYEZNnICBRyr6MSqcNU6dsHzON6Y+XJfDs0dY8Ej0u4n
dv77rCl5s4uy8dxmFy6WI+Yf3mlpwq8LYVRExeXtOsRdPAeAjNmst2tj6KmmfOSndvwlTxy58sKa
LEVJtmh7quzmIUtLthTQ4tZpUnZbCv3PS2pfMg3kP0A6pInAYZ05bXgtnZDxIArPedUk/H2xyfnU
kk0VsurqGhZ6wbQzI8Vij4wrK9pZ3fKyhGG69YKRzpblZtAFIR4xWrNqkM3aLTM4mqFqSFOgC1G2
+6kZitNgICVvwYOPk+1B9n2JA39r202/tmPxjFf9dQhYPQS5V216d6l3ltkXnJv2ddzNPvEs1HtN
1gAoWp7DFpm8BcuJTNPaX5OEhLLWr6GM9/dZVt8MZgm82CcbNCxItWx3+JS1U6zaD5ZP8Ib41ONF
45KSR9H1xWY0UJqFICZWofRiVPai3wTzYh6Cokq3nORkWQoK47SNaBaza6Rg7bqV/jFWIcPDVk4b
BpLP9LRi3Y/1czABHJGTwcLTiJdD3LOsRfOfb7kQ2TXZg7kyraUB+iNcJgfiNogDPlPYHAHylqee
XMw1yNgIot+CN7hFK03M7bEw1A0Sj8cqcGIMyWW49aR/Ufr2AVAmNGwRXU2VlESU2rCeEuvMFKQX
+o3F2kbFaDaL6aqejDMYIB2D1/zLkA2fstJBZK2uM23SZg37wiF12dmCPHIVXo7KM7dZGHbIqqvx
IpppmRrna6YngLJJgMvPn1UWXU52dQstPVsTu/VYtD02csMTu9DLsl2jKSh9TMxY3d7Ygj6SdMWX
bGFtPNvxfhkU7vbC8LmPyG+NRHpbJ4JmlinN1mjyTyBzP1ldgt5uZLxgZk90UqAJe3avTY1UmKyq
EzFF91lnHDGYnodRCZV08rZ+0pzHyNXBFA1rhIUgwSPjsW/nPSPki7ori5UKiJtHI/fQL2TcUvtF
h7EJoo0sI9wPFh+8VkbulZ3XISHTsHu+/r4Wv80bKa7/+Vo8PX99+dkey+JV79ci3QT7IbZExO5g
KdfV/J/XovmH58KZw2uC+MTWCLz3azFgj4XDho7CCf8TGf1+Lfp/YEzHi8cL0KSy4/qVPZbrc/f+
fY8VYrMOUJKxlQcKqt/E99eiYVqztHtLXMVRuQvmkqhbCc6xmLtLpy8+kZi7akhV3izpfB7gKt1X
JcP2ejigpHlxjbFl1eNxKCksFUFxZBfODjvKyMEc6TqgEmmq8qqvyZ4Ly+LejBi7ICoH8pU2X6yh
IXo9HC77QaxHa3z0i/LVynIgF1CmU5E8+RGX46jEPcBt81DBWBelitdB7I0b3na9Gwb4s6lBWWrZ
jxCHqk2b0nFIx6WONXx3Rxb166jkC+4+EoaYE27DGmIWWQi3dZ7cTKJ6Xkx1b8zwaCJfjDhDyF3I
De/c8w1vM+jJfhPx3Mqg/sxJ8CUJukuykH1OFv6JQ4fbRTbWtVE4m6zApNQsxwzl6T7rPKQqqX3N
6XFtVs60StP/z955LbeNrF37ivAXcjglmINIKljhBCXJMnIjx6v/n9bsmW17/HlqzvfJ1FTZMkQS
RHe/a61nATQZ3Hb0M7JVG4Q9cBnN8B40CaIBNLZFGpHKmSNoGZma3Pf9dMGrxmNThVDaGJlzpMXz
rskDAPnatRFDTZmPmS8Vbz5EmbeP2vEA9kP1nYHMldn2u1ArKbovmH0gOBaLorMUSEKNS9exOj80
aSG2HrSSVdc6CePG1tgTz0zWXjp+5dg17cM+0nxVqMyg8sTFoe8qPP6No11pO/wKJSOQILhOiqAw
k37P9RTCvPaynI4+JbZ90YnoWtjKppD9j7EDar56mUgpbprQkKfMiAqJ0ImXZWmuHVxvOzJM09YW
6Go0Vq8cRzgL6PXvELxynzwNxyzFzFeZkJCsPHjJHAArRBNOcQoZjn90IrkSr5NYABGciUMFWrvq
BexCXa9ugTFFS4eR9ZLNHjdkh79RbUxjW+sThUfd/N7VqrEomw6IPgLUIkmFB4hFAjISvV/Ok3ti
qOkt3dH+qMueskhPuxFDC1qk5VameWFchn2csVrQHqMp9h0xrZfeSRNqVGlhaVwn27bNCEUsHO5A
Hja7gG4GxzRA5uVYJZnLM6vsem5jz7nQjw54zczMrZJbz16iv9FJAPwDNVgfm5OSKxA+FJfuzEEs
56h6mzwTm8ngVM5SNB4GhmluzT0WZMCPC27eeDXWE3yT4SOboscx5DuvUzBOxQmL+cQeaTJa4+IM
+TN91s0ycGOO6k3bAYqavoyhDZcyYAAGP5Fwv5cui6Kd/DQtHt2iGzZDhqkzLpjB1kgMWhTaB2qG
K/KBEfk8S9zPRXCu7fLYjR6gr0J8i9vqTjeindDdA33x17lNDvMcbXTqLSIlOqkJM/Ni4rBIFIyz
bm3eqoXdE9KpML2P2sE16GYBNLyj6FXHnMMv7oXbZjAPHLy/2TTaNyk1vYVjroogn/aFMr3qEsWO
WM6edqSBLJ56ex/P7dodwxHuZeK07aMIq75Yj1FpzrTj1sWdMXTNl2IcB/pD9DJd2GrT11sjdq2X
MC2sfduUWXjJwiyE61Up5ksQ2npwSixkm9xL2yXBgUeN/hC8ZCipgGwBn3G/bM0i7VdDwlBy4L5b
WSW7cO7C587stjP4YgCS9jZCcyY4xeYRbpFYeEVwdeeZfVLX+pQKzj5S0SWzQ2D4Gk+4vIx5PIEC
ZA6bfAtr51rbiDIkEtYT0egt1cuZ70ijgdfS+tF/qaxiXvMt3rgBcWMPXwyEvotnxocunSy/LNVX
beQ5XogBZkV+qw20q7Vt0GyrjP2haILzlKo6CEIqpoGTjgvBFCbdiULn8GSIV6foiVDoQHMcOz7G
afKmuwNPg/FtdPS1qEg/zK61CUyT72HG4MRR0nt1PAraffJ06zLoF/OGToSN0rvnULPidT8l32wj
olSxpfbCoMk1i1caw34OTIAHEMqZyefDXT7jfosCnn51nodrQR0cJQccPkhfEsYmsD2Z+cboVc3P
B+YJul3dxonFVKt2jkFZXYpGjX0ShHRCoXBUkX5jRlq+tEJlbdU1xCVHfEnt4lLk1Y1iB8Iv0JET
t39PBjvaDLD8hnIsFjQnHALqma3KZdYRn0EV5r7e2vsyYFcLxXEde+qubNwX1XDjjQGpDQploS06
lDsB48G3EOXFlC3Jrd05HsxUTTc/7N6r18PMw9Zw20OSM3RDorL5i+O6tuu92bqgnuIItaN2wCE5
PJ/RxtJ+JvQY32VB/lp1zk5n2pK207EvlC+pwUetugyNuqLlcdOvcy38SDxva8HeKhT+NCjdb22f
fC0b7ZDr0R8Bhf9Np2X/xu/2k3VcFs3r3wct8ue+21HiKsb+RM7JYUDCDOa7HSWGO+MPthtOp+83
lBiH8Tb/icH5bs7iMLnG7Eq/GqcvR25D/8WchenN3zeU8OAwX5kGzmiCDT9uKDm+pLoz69E5VxFs
TpHeWi+jpoI7tGohQooGB2s/d5X9Ykcm6WZPEaiUw6gMz/XsNF+8yCzuPC+2Zj8xuqFYG8JpHxuj
03g2s8HjPJSgkcXKF0wjFI+Fs+lnup76+mhfXOAlXaidu54e1GyS3MxXPQpMQou3duOSRrZVuK95
fNYn9kTYY1djTwW9Uu9BOACdbTiNh3UPiFadXtOqZoqAPLWgrqlZNMSDaU1yM5/c/joT/bhQBEMD
q/N2ZljXi55YUJnbt2Zv3eaxrS1Tg36gYLyZ3Tpcej3QNlHdlYb+ErlIdwVh7LUQCYZufZ43buzl
Pm1mdASZ1m1iO8febZ70HJC8LbIjTdsHKLAsxYHuLs3GAQ5UgwrOh9L1yzm9Zez0UJlzeTLqvljM
ggdhLUXmmp76xWBKXTJDAm6BSvujCLOjYFQ7O+UTEInebzS1XHZq/TE39YQKKIOVTbfNmmSjcojU
WMFKx0lYJDzfNIlDcUBZ83hgeJHwHpCyHPywd61tLPg/sx+7hfCKLwJuLY+qq4szyS2zdy2N7u0C
WmXbJuYxsIId+uk1Ltl895YT+XgYgkUIhyaUWYkiM28j2743a5jytKF8tQtxoLT0tpxwslInwKog
HGfBTixhtjEeMML6LbOfhVmITRYrdGiZ3ey3eMYQVL8kNnxlG0/ZmtVsZZftnbAIbSkD5+9Idddm
5fQ3ndwoO1PjtijVuza18y+Uso2kYrvr3CNrWpSoCqxqi0pR2fNP3UM9JW8BQwbSfgwJcAyundp9
JDPw5EA10KH1ZTlJr1H+Gmp/q0xgeYL5nKUx+yV97QUXbtbiBjLrMfPSyzzZL7HN3kzQ1r2ux5gN
HlsIAoTTobW57TQrORY60y1kVVQX91FxOKW01hD7WgLyVallm3t6Y5X52fDqA1bdS9+wT8R/hq/L
MdeKUb2YirKMLP0hb0nG2YWzL3v7TOTRYAoFt8+jeKuvWH6D5h4V/M1WxhPoqQ+czvdN6+xApx+T
PmU+EznEYjKPNHbB58DU/WumDXzFZiQHd8wQQ4V95sXbi3aInqoaN4qm5mc90C6UzawrL31TlMB3
C09dEI5D3jfyi+xsZtmLDk7eisfI9moOpZlO4hLoqZJ1IGMhFSwCvDy+k2MmDwKwA1N21ZrgKVOK
yUfKQ5OifMpz52Mm2lOnpex0wTfY+SuoxT0+Td8d9GuCbS0LvF1UtucmUzemYW6Bv6drvF+nDvAl
JAJXrEnHMRaVkCxmMJMV7T2KTQ+xVotrM6ZBsx97DV/aLHqGY8a89HBwbrXEfexykXEIyzW2VXSM
gcuGw8txgLoFUUBqGU39Mk7mHhOCdhPxxfL5zK2zcHDiWT0YHPax4+NcifCW/tfskJiJtWl5C1ZD
pmRbDe1+UVKvaMgIQKgueruNtq1CLp5oPZeeKLNYK0nwHxf9/5ZpOaX5v5fp5+7tF0u0/Jk/l2i0
ENxbpg0ayZXFOMyD/lqiNaJGNgIx9mUZ12P5/HPo4/EnHrY0R/1kMEk4659DH5pY5SLt8UcatSz4
xv7NGq3+QgsxMKyx3BNtsskf/rhGZ23dqmMxqucWXQKuPIAOZIWDrnQle1ytvFpSyOiEyUiUGxvK
nXyuonfU4E3RiZFAoIhZx1rKIuanQDLYmx7FJHPH8lTPil/2Kvqp+671KSJhPmyp/QqWsz3svMBd
x06pLss43HRNAAYYBBqnVvNhEPXWjCNxT0ikYxxRvtuDeygQG2rNlDN5yOn0XL1nkzx7NqaQDLvt
yJHJD+ciEld2zhT0meZFMRhr24O3agc1YF+vBEtFqzs/y6rLFLSvKNLvQc4RBCQfhceUhOxAsstK
FeW2zdzs4rW1tsjtCP+vAc0hmBxnGYCE9EMF2qsIYLSMJtqCZ3xtYhsPSXXjtiioAJaeYt24bwuv
XCqJ/lGm1rgK5vCBPhJG782uAy2/yGdtG1TeV1VNBS7RCLoT3Qlqcmps/TkX4QFI3D1dps7CmrHD
1Lp6T7BcX8x8CC3PKR8uguD0YL1OHeS/xmmeXBAsTLM5sVdYvgZTvbiZSVoziK8xew+w9oM77KdJ
xU6GA1XFuaXiSHXn+NBLi6qRNLedfMyOloreWucNZzVGIHamLJwSDNecMoxQlI5mBUiMlLMSQOdo
xgR6FYvGPXt6OW0yoKs8gKiJFUQYw6b+0CvULDAf4VXpUhXDlPXuIY3fVJP+LSsshtO1XajLKNG9
m4zguQ8DmxlhaoXIEex+RCbKPWfsMyJQCVjaPQ9KwSDCZrUIp+IbHQcGe7Ni39X6TVmUNPQapKnb
mJgMxWiC1VLZJGNPgkbrXuwy+pKmaefXuMQqWfvGXpX3jb5x0BHsLN1m/uLgetCC4i0PA7QWA51P
KFfNLb+Z0bTqonHTVaPrC8JVvtrWxo4SnV1p5/uxtVZmaJwnLT2bRjcS9vTshVokj+oQPFiU7G7b
1CuYKDgPdYvfstF0jpjEwRS3Y2dXsc3pVPU2n9q9OsSbKk1u4zhc2V32PKj1m+XVBZVBVIxMTX/j
siNZ1rIroVDFCZ1SZeuh7JH8zY2tkkfqPKo0RSgbF7V3okoGhajTI/vPbtFrJTTvmU1oCxplGvtd
CusFHrp6M2TDW8R7DU8E6U3Y7D4KnV0imqiHOmej0iVSrnPR7dhrsdUhQKBISQ9rROGnSUcfLnLf
JIU/MVlfW5TAocLjn6MNVkGto00iF6YknBL0QxcdMSdqoKErakpz5fcDJ4Di6KE81lKC5BdehnM/
LD3USVfKlN2s3jae8TJJATMEbujTjz7uIagpu0IKnQLFE/vYndkpHxFKqCsl0TI3qdgzpVAaSMmU
/lkYjIyG6qDqlokUVnMU1kRF3eWwBGhfa+aFUiDE5lKSnaQ4q6PSJrQv8Osh3OInxB8ZjlfIOpgZ
UHdpgEn8z+Xlf+sshI7frLOnj/r9AyXqZ9eB/Km/VlpiQkALLUwHZFA/l9PvVlrd5IxMyw5r3Sde
5M+VFhAiB1eZ/9PAjcss0F8rLfIKeGGHA6zBrphF/N+stGgyfz8NO7aOzo6ao3Nu++k0bCj6oNEW
lp411WzrvdfGJVSvPjcVRqapAz/b5nzmd9SoQEpNlx1N4Tx6t+NupwbJRsi5Oo0VSet+iSYQg2Xc
3/NAqg/qmBV0wchRm93i0Z2oNvfzzzkcvQ0W5qhtqdNWETOtK9LpPCpZT12F/hoQNvYxBx1KJnzC
HjH9MPMbmf2VcgjYueMX9JCvNtPB0ij4BwCjbsPRAvntgtRqvGvLTLEvan2FRM6WXg4cS3Thh4AZ
JKAqjlvqRB/LqJ1d5pRDDlHVlqPLUA4xx9rd9jberjwdtgGLnSkHnkMxdWCVGIIWRdWvIE0n29Ig
K+uhynOsCJhpVtFTl1btUlhlugmpfgOYwb7WkDtcZHk2u4Pc98LUZgtcfW6H6QWjE13ukaOIwGQq
982N3EHjsQ9vHbmrtuX+upA7bfL81jmWu+9QYx8+sSGnXkm/RHKPLuRu3a6cdlPLHXz0uZknkYm/
kw1+IHf6Qu75MTCDUZPnAEDiHAkSeToI5DnBLWtzXuRozyG/g6jivekotrbz0kZJ1/qQ4rd3Uu1N
qwxz2XWsuVWSnCICZHhCUcnAkkc4fhdmOK9VK7+aOF8Hf5wKrPB1+oEk91g16bFQ0WpyZ9hkjGJ9
yJ3Qa5RTQ2H3IiK6bJXZLR1H+1Kvn3UlPSYDsaxKz++NMBpWbeS+m0w8ecbdQKNiuBy1ToqANcX6
Cue8gYvbipL5hAVSLFSIb2kJEoFKkWCXTtGuy0lrjwFr7sjhd5XP4fs8DsTj4DchorEkFfLEanmC
tozaerdUdAKOy6mPD7FZGgRiO0JsTj49hGM7LqEyWEsQgwkGElzMZBFuWnvIqQWymGaHecyUMkSN
4G9iE19EmrdypjLyU1VKmJaX+u5s9pspivulOqo3jgUQNK2RfqaS7nAVM4gdjzTQWIzK44zqEzXX
X+xRY/8xFXeDJE54E2VzgWicRYWF0GPgv5AZfeRA5yMPwq9ZwUCIb5ffJhNlSUpy6Szg/lOvrzQV
un7XTPmq0CSGsxi8tcutr9KRtRQqO4BlYLUMBhQaoRAiEqdI96Jpi/v/rR+f8ryOmv1/n9NOH+Jr
8R6LXwDH5Q/+tYTo/w/uLIcxQp7clT8kTU0p3uNcs6AwmbokVP1nCaFuDhA5zFoPT6xuyBPZX0sI
xjULTZ+zH5r/v1k+IPL8sHy4lqrK9jkUemAvZJx/LoV2SL242GaVs8YN1rWcwlRz/giGKCSMCZio
M9Q1vfXrepJFK4Q/61uvzqkCcnqMSmRchHMbovLhCcMXv+warX5E1HOmd0thvmVDDiQPiME+qaTp
XnfnTdgM/B/Ii43jqpIchTkflAsEv1Lx1rWmP4kyVd/DCjM/m7pyXUiD/4CDkJ4cOeIp+LuGDAJ0
qV6/lJ/hABkTmKPe2g/C2SdJbSwGTL5WhLzVkC7o9O4tH2nP6WXwgFYF9uJkEfB0nSYZTsgda8Ug
hy2vDC7kNbV2ngwz1BN2LQ4zBmIXjccFmQeDo+HKZaC60GUgYqZCHnhTc0kawVxrarNnhpTTnaY9
0uMT4+9Jb+IqjJbsE67J3IoFEazTRLMZAmd8pm/svYkH0rpIhmabtQtXhjccGeNoadzci89ohwx5
IDOqq+Yz+VFLyqYr4yB9yWmIj0U5mzIsYpEaSdrC8Dmc7Cvp90r7YrzOMmQiGjO9juROChlA8WQU
JfhMpaTzHK8Z1RGJ8g3BdjOR+ZVaJlnmz1DLOJruEmWZqAsnSXiKYG+CO56t5aZPklJdcWOLnaj7
nqETIZTAVtxTbEKMX7RecEptflictKoLrloXPWeRZbHU2K9hTY/7QDfoSjO951Rrw1XQcnD08tzH
tXbMgigHAzSdM1RpP5ryb9FsLSnQbs8TyR/QIabDY95NfU9AC1F6e1f3lbPXLRo7YCjeRQm5Daxi
GzPiP16NLDpaHTv0SdKZ4w4YkLVo9U6mqXsceKfeKpX9ZDhEj3BHX0hjIjfWyLlqw6nV8PUG2nqZ
ZO0Rfg7eDG60MxZhe11XVnWwTRZypSgwI8gtlTt3G2j+L7Jig3GIBhlxbPYDlW4LQGja2gIme0Oo
bq3k3ledAKid5Neio6ZKMU5N6XCK0pXyZlLiaadLzDIP8a1iUVWSs57cq0kQrFz3o1XGQ5w5B9Jn
xykqWKGSaFON08pmt8VrPruTOFp5/jL3ysHS4mMO7xZvtRWchIsGn9ulQf1beMf+L9xVUbark36b
VnxIbsTMdoipi08cgLup+xqSOl20dnwe+0IiaDnNK22fU5Za+Zqd7TwOqC7Z/LzGll2kGomXb7YT
82jJ16gva3qsfLWn0SPU6aaBPRKVyc6hYcAbRp+dLGS4lsZ0NM0HN1PPDNcf7F51ifR6hY2FCAgd
AIxvZaXdWnO3czqqwvJ8ZbdwWdRoPFhK6pNKeI1sY2PX/YrsdAmhDgNnKm7dQv/qpXyH88z4aL3p
1qTsbAnN7TRVM5h5kxJBw8+TjhwbZsAw76HpqoTjg/wdY/g95kAMdWmyg+twmYvxnMvoeRLugrHY
OnnB0Y3LZ5Z6zcV4MwHk0OdpJ4JuqeAMhHOFiS/dOtTL52WytZtxjVt35EkUv9suoyOl3CoMDdLI
WU1lcRYQW1dCLTaUOyQSfnnRMWHGfbgdVXeZF8oR/856ymL0VX0xpaNf8RXBnuwH8GOoVPKDNvuo
s48i6G7H1uGOVLcTviK6054sHBwcz5dMA1eCahoz0M94hu4a4J3IS4jP4605evdZAqsOKy+ZokHd
5ISKvcDjDgwUTPnqGhPht4mGbp5wawxOlI25gGDI4ME+2RkauYq5flK1llG4e4fV9MmNmtuwn65d
/lVM5UelqpFPLAEbbrymgHjdBNMyDc1VpE5+aERXSkVPRW/cIgp80xQ62GpMoQOKjKpuFa/fug0F
bVF2l1jFsSU7jwTFeYNCCtsqV4FCWYHarfkq3jSeu9aMZg9bmgtWq7DkDcMHuoTeARDV1N+Hrnji
n8LRBVxrapgH8k2ivDgamGcNr6ByMB8rB1qNd7PirIoJv2lfp+uIRuFFVAaVj4uL4h7b2eht/5h3
4qUlHzqVzg4zHkkLcppYSrfCtXYE65HQLLobk/5pqNXHok5uC3rbAnNEFeh477xVKNqt01rcnQ44
sf4KKP5QzsQqFeagsbN1x+AcGPNOmPm+DzSaLmMXc3G8zrPpQukxWv8Acca9JrV3NLTxubSz5VTT
f6R77kNQ29embs6isW5JO6oE0pu7jrabvmR/LQevwsqOmQWo0a3UxYD1rJYPqrl4mtL2oIOSKNkK
dzRBJQZgwkGemwUOBPFQl9Me/vRB0c3orAR0HJEcyu4akhQ+BtJ9zShjHgj2kwZWlOQrRp6HpM0x
CQwtG2KnfZZgGh2iWVKQeo21r3ZOt1BbPaV1tGOEfeZ5S2KlTinrag74TfleZkxRZlV7jqymXHtG
ep/jWcaBk25SQ7skqUubrEcvUzEYawJY2yC1/UFXmC3Ohd83GEfCIfS1SV+mWbKyInHBj7RJgpE8
/fS1VMqV0iSvLbNaiX3jG8CIJumdVdeFqzpSANCwQ0jbzs8zFgkCy9tecb/2tN3S27GBOb2mZnVF
ZxLPn4ZTdTjO6xGo79SGh7q17rEFytLI0hcNOlpM0240KHuhm9zrWDI429VaQTdqe5qRspu6fO/c
ehUmDaeHbAQ/ifclV1n+vtvS/oJ9I2ML36FvPneIzDJsLGJ0M3g/Dxjaoa7rLhbKWc3xqKWLIr1V
mGf+/iI/gsH+2IYa0Lw01TDZ2n5OOb6LpWOvVG0crsp5dN9qfF7d81iQdVzmBKB+f6VfbXi/v5L8
Tb67UhEUkzYHXEl3byITWcuBADrvCvtL0r3EuOR/f7lfvnt8mxiOINoxofnxcjq2NTfIivDSKy9t
d6jCd5H9wWL4P7Fqv3pF7JbZLHMZhoY/XSKwyQV7HEovDKCTYdNN0yoD952Hm5j+Gb39B8LWL14R
bcMcWmjxwH1hGz++Iml11Ce1jS8AKhexQaKKOov0H17Tj/Cbz/vhh4vIP//uU2oCpbXsgIskuB7a
+igB9f/6g/nhCvJlfneFvp2RqkkjXbB22gMVRcV9gE309xdhzPfzd+eHi/z00ZTplJZ93sSXUTEW
keV78YXmEB5wzxYmjOasQ5///RV/9elgMSZsTsrIImL648tKofbFItHii1NdKzX0y2znBN/+/TUM
0qYmaiKBJ/enty6wDBpy+zq5iCZivEjYu/Dpx/79RX711kFLZBBHYZKjez9dpBgix4njMeHzeRb2
MeKkmPAw8II7xv8mns8huP7+ivKe+ulBxyPuv1f86cOKPDazpTZhpR4VXNOPkDr+4WEgwSDfXUKG
cy3NIb6rY1xCu5XH/e9vuqYwSYmOWn5JjjRE7lg8T9AYVtY1urV8xLu16yvr37+qHy/5xzfp+1f1
0yUxyQNkKvvk0tsNTCcS/lRZ6MX291f59XuHIUtl5bRg3v34wuyZ+Xibq8kFydHXcc2Ss/n9FeS7
//OnQ8SBu80DxgZh68crlLBgCRIw/HI4+k6uzm7zJaYSIUySf3gtv3rHvr/STw84OA1FjfUkuWjW
R+RereCumv/h8fbrSwDeRXDnm+T8dKvFWtq75hymFyHOVjcuRnob9M7+h6XuV18hbra/rvLTR5/W
fdROIVeJ0/dMkVjtVW2uLaRJ+FtKusmsf/iM/vaydBXBn9A4Zj9aW82ftAg6vJwyd4rs0vabqn4Z
7FU13/7+NvjbjfbTJRizff8NEn3IGxpV2WWgoVpTKCpKrH942359CRmLUdnwMGf78RLJOOZKxknr
0mTvyrzDzPUPF/jbrcxroCyQTiuLwZv+iY78bunh0elAZJzzC/u8vCPbkuzihI2p9/H5Xv1P1ZN4
xt9MZQuGsr8Q9fihPyeynwQGl22ZFMwYvvJH34l6OGR0lhxgC3Lw+t+JLCFjSiM9JA0eQrLn6M+B
7CebAZQ2XCemgp/FSf/CPSNBUN896iT5T8p5tqfR9qfi7dF/vAGrosJSHSXRpeqYXGyrT86B5Zw1
AvSIEOEnBAG29AARoSvJqRMCkqiECfBbvXbVXGvvhk+cAg2IW6ABRvBapnmiAvQUGS4cokuwRhmO
UUE2K0p4MQF80vBSmREEOq3TR55JszXTjpI1XoDphJSMQYBqsglooDV5DGTqqXNoqanjKtrSasG9
nCWWsjBGp7a2VVh7CWniBmWuGrIaCV1CgTrKhJxVCDuPIIprE6Bpkc8tWl03/7v1/xAkuOt+d+sL
YvQf0y/ufn7uz7sf8iVyBCsPKyk9oya3+Hd3P0wwnny2bf8HMvKnpG3jEMO8z9LLLum/975hSSo8
vjFOIDrpw38nSMA7+/nmJxtgcO+7yOPgOc2fFq28pOhzAqd7kxtzv6YnDx6t6jw7yHCF0z0SZ3hI
52sA0pxAwUoHcd614UMgmefMbQ3AhCkg1emEdRQ0ujGkD7lkpWuSmj6BT7dbdAS4Y7sSsLoaUpda
dgUSRw1DS9LXdVV7USSPXZNkdkMy2knxBmTmEqIxQKCCsN6LgQNWYkSPOVMnMXnPM5OprHRrH47r
65SkVy8yXmtbexr7SfeZTp7IMhT+FKW4Mavk0HWM+y08H4+T6r7EpDUOAlbXShtwVqll8pB22Ys6
OfPOzBkvgttAIZi3c6W/9E1+4wksVrZz59WblJKlyitQOZPhoYviZzdWtoNaPDa1Eu4deIpeY/q5
6ClGValUmm7GKb6RnmVQyTIpGX0tcKWGLZTPyh5uPGnPLWJ9Z+LCga4UTYw19buwOtVMb9v0GUtT
teBX3AAWleJ8v6QaqcEbDBAjTXTmSmawKKymQYX3hB9AvIZUfLTzYtgWrdNTrNOthiJh+msfCQ3N
a5MEJA0b2bYqsq81U49lqzeIrbW6qe058q2+u0yut1UTZpdq0ItNJJjfxkgcmMH47Bk7WiGcNKd+
U+eJNLnKgcGdMfAlr6MdeDKHd2SydM5K7yYvzaWdwBQh9XUcQtClprN0LLgjrck0OFMtMjDS+Ivh
b/TtAWNblpo83ZymoW+jzeExwQKdYjqS2pwMU+u8ohrsiCO2a4icoAHwBKB5XQfHxuGmcdKrDFhj
SeWbdJUILU+WEZ+cUhoP2CAXVU5lK3tE91gp2i5zi1OZjC/UxH+JmuatrCg11YZJWhtt8pVJh1Zd
kw6C9bnrp7ZY9lX62MUsDDMeEUkyuAaNafhpP25ZCYp1HZL9w/E9LNKCLraYPimHoTyd4EVZns06
wv6vbiwtYyzNfLvsUZSmzLhLZvGSafGh1YZTMes49lqxJ6t3VMEA6nk3LzK13Lm9+5bQYetFIXlT
jFW229wPTXxXdsoD85SdKqRxzvwobHuXQiDDXv0imuwBzjVv6jwcTYMGsK44dX1KUj0dr/TZbMYg
PpqdTSZr2JZesdPkznUyWViifWgyk68n41Bmw2Fo1IsamdmagpNlELZPgwNyrzHndVy3Z4gKOYZp
Z197+q0Vl4c07rdmOnW8wrzbJb1+NtX6FJYO0/YeJQ6mG9reXVM0jyH1UXThnLrIXEbhdCvUjEgA
X/o0i9bsCh/D1NlYYbHN7djdkT7c2P0gaV3tyaBey6d8Gg9FuEMTvuZKT+pArfyoq3dg5p7Ucch8
V82ypad3t0NkHTsIRYvZYabM1vCJRXbrwKcvp3ZJ5afidyhoRma/zK63GRScFN6wzuL+WdDm3ljq
t7kJAYjgophxp8cqZ9CFMysiv9WhW/rU5Wb62i0snn2jYeyJuM6r2s4OXtgdsf7v6LdoIeV5hyiK
zmafHYJwGhZMX0/QchmReuKtj6lMU+rsRlG9TVV4N7UgdeoOI304KlR9S/sSa91xBNlvpMqNFiR3
s/wISRO9lfDjiiYkoDfAHlAeR7U/G8Df1ZTknO0Qc52GV12xZ5x7IepLVS4reL1MPK216EKMim7+
UoJ3nby8ZThab9Mi2aSiHJaNrX1BUtlXNIdFEc4kmsZ6sjG+bt47YbeK4/ktyZy7GSPEUVhVCe4h
uC1zcVKEGiyCKluZs/WilfaGImnMe6QsktY2ocaN+pYyRr7L4UdKoRi7oEIFMDIdyUGBvtdKa63G
xsap4KxxU5QkhNB57FDdNnn31AzxXSVmeufC+6ButkKZQ/h+7heB8ZLXfA+B8bGton43mhcco8tE
xfyX2ICK8nFjmcV5aMP7WJ2bpWv3WyVDEZ5duhjt65xp2zr0eGu0s1LVYhGhqPSdfkf9iLtSMf8s
3VoafjSwgoZ9ajLW+xX2Ez1bdUMVf7HyuOXhbzsHXSB+5vgO11Flg3lC3QUqzbdzPlbI+Au75iVh
jtnWIzyIUHgXsiouCiRm41nBuqn3Fa0pPaGRvsvfelKnpi2SNSsMIi+W82WpS/sKjFyQlkFEmHPM
WpaY3uv3kDZwRCvTN1E3iPXkodNJpL6RYI3GNwO4I8se+yLU4WDaNUoMIQktahxlkSc29JQ8PKIZ
lmdRae1TojnEfqy5VvCYDda1GQBKZu6MeD9kJngATHEaRrI5W9IldcQfsAdpf9HddG2OycrRoc5U
wW1Y1bRy63gbDPzPGUA/oVVPwQAfA4FgVWsN4NIUh65JHMRo27ceGrWWus9mYJz6AbGasEfe9esW
Rn9sNPcoVdPSdaL/z955LcdtrF30Vf4XwCmERrqdnIdZpG5QpEQh59TA0/+r5STJsk/5XPvKZbvI
4cwA6C/svfYrT9Yn0lt2qCuuui3fg8Q6Yq1F7hOxy4itkixusm5m++jG+TmIM2vpuDmef5YkFRue
niOaqpsFWxNcE91eZWl517VkPaEu21ehc7JlvAM8s4BJvc/9kUBUPV3FborPM7Fu/TG/J0tgNZTT
tMqL4gHMcbHMtfSox+Ne17UzUUJLSqGtKet9F/gEBpPk7tZHfPsfHGEds8I4NBYnreVtUq/6FCQQ
3tLwVgZUChMLtzmI1g0eMLvu3vPIP2kFAeNcdFL2x97PPgGeIACMQPNSj+8aE6S5GS99kUwLK8eE
LPX7NtXYfhBesZxUWCEhWjMmtmDA3hYkkM5AK3WJsct785kZyjJLDLmxYZpaKPEoLfANFFnN0z19
ziwU/rA/FyNKQj+lpSE+cK9VyRMgsa3lzTf6QKhF2hkP04jML6k+lIajs082FYkt/hw05bCUydgj
W7MuEF4uQWgBIu2cNf36WgQuOZnx3o91fxOGwXFI5/dqsi9dZfCOR0QCjsnFEpajDZTBBaACZXUd
TI53LVGTF6JflxldUNTpt5nQTlknlc/a2rQtSovAjvDXtWxdosl5sUfkDD5PGpZT8iSlx04Z3osk
ULrSnBfTJCe9iutnnT3hQnf6TdoOGZsk3rUXGDtfPXpqNt9D6Ue7sIFAg8jxXCE+SPEbXDWzOVZG
SConW+lV3eRfUBiCf5tqHEn820TokTHU92Esqy2Mtv3ospKeup6MA3Vq2+JZGtxoCXK5VSNZENeT
uBhpfMElthSJiPZuNLcnwK2sn6X1wQyz8DA2wa3fZi8IScRO3e6OpUa8pLJuGF5ZL16Ef64St8Yo
45NvAXw3qn1Y6Q8mFvW5tHU22f021MuVnqenOtS3vYsmP7TzL0hJM57l5jq0vIe0Kw8xxv90cKgz
QV4CJHmejPrOl0BQi8q9JEYIPjbZgGGfoDUlT3Xmvwhp3bHYKY+2lRQY3Z1yY3biZc79PQlz2jLR
42JbDPxirTY2pRHjYCzEsEsyXGQtIiaAFyLXrXtpJCZtRNNoYu1lkzCTZWo52to0SLf7Vcv9l+sg
WrFvpgcqqsJ3fIckH854tGNfM3i+mS6Zsa5L0yzia1IxUyrO7SwXvrj/pq28+WXu+m0Gxw8jrF9f
hPQdzEfKNaS6uG9eJA1kY2ltG1/1aa8VZx3DiSYeuvHh71/mh1HcLy/jMqQRKg4BeMz3LxPouk8X
oFO4m1/G8lGz/stu8ye/nzmPoZtwLvm4fvysWgLPy9LJs2sxcqHtvOD1H//9JE+afEJ8UEqy9/3f
H7pFMFt2nV89+g77xvZPf//7f1j9/enz+aFZFk5qRBqP0it8AS1fpng53RXoLPmeJat//FLkVjlq
cmkz4vd/+CoyL9RngubTq57sWDRDrqpA4ggStZcwQv7+tdSf/c2sX72t774WdYl/c3XpRpwPOIOy
a0WaGZB9+q5uxTN1GjZ//0I/+fy+e6Ef3lThJj772V9eyIIyEZFIv+EcUUdx9V+utZ/cl+grWXB7
nI4qC+z7N2XZhVly8BbX1toE2esgCR/49Pdv52eX8zcv8ePlNhPbUYYIp6+F95oEL0L7Hy5nn7k+
Q1A2MVgivn8LSZ3ZndDM4prwBLTg5kz/w8MLTavuKHOEaTnKiPHtN19oWOQ6xyivs/s6upcenYXe
/Zdn18++dC5ixrhCUbOUHPfb14DzQ1yeN+dXpDuICDEtG/btgMepWmFX+vtv5Cev5cHzZ0vqgkBn
/vT9a0UkO1lA8ItrpHrqdaxUjGu3XpTUWHdfX+rfab/STPz1yPPyWnEV/8nBw8/8Pu40/0NIK2cI
yZWAI9Q19fu40/wPW2yTxxpZdYgZuCd/G3d6/2E5YFo06T5jyK++nz+8sobK6sNfq4xBOhkK/2Da
T/QD18AfTzvG/WqmyimEANg3Me7+8LRr6jYnocScr1XVImOixFg0Pk6Ayp4ejaTeBsozMRr1Kqj6
N70PcO5LoO5SEJwbZKs61R79oV7p9nS2Z8RFNlJLsiW7hR7GVwdU1BR4NwTBkhbLaH9dI+NLpX8e
LXKp8nLrhf6uT0waCuATHuTmZROqHHNnvHfsst/gY3/XnAIYsY9KYhDh2XVSlV2XEmFS2+vJVJwj
DW2gFe91G0hhZXpPpBTcUPhfbQxJi74pBgRoQwbFZtoGErDMZPu3WRLeh5SHhY2ccbJRRIcZPs2p
E+9jGSZkAvfVa9HxOpM9bGcN56YFxg1Py46mRd+E0mDkQ7wnw5BYB5AZVodeD9O1WY3QUwlWXBEx
uIwze+PX2VvYxysVOcqEq8Vf2aCwKkWylTNUKlePNuQI7ACIQKvvMG620aoRmbE3p/Jo6Vl8MAC2
Bcx6l16jV8sgZaKY4kb0R+e+NmJnM3lNt2RyzLvwG3H1MmdfjL2+KGccmnZrZ3vGcxds0Gisi27Z
dsHHNvQeEg01YKxZOzEF71QpBWkCEjmtk69aRrqs6iFsaELsyihocYjk+gOzUDSO0t7Tw8mVCKs7
HEc7NNruMrKR3IZzWy9LMg3ZXWIqNHQ4zRXpy3ho+/UcxRMpBbCn7TD91Bg0aENt4FDRZhNCq+Gx
+EnXkQ0gCHRftNKwX22GUeV9ZCr6I4U/tHdUHAhrnHE5al66r8gKkS6hIYOKD6E2TbZdaWf1rmnD
Mrj3YLodDCf6HGolCQJB6h/mKoIkkTV70voeGNc2PObNndDwHfP8X7dRb68Hj4J/KMpj4TXnts2/
lLJoFmIesaYNz1XLeMiZ46ferCH5kbmyHILqeWg9fU0Exqkv5CnPdQFiNYH65YHdI4lHOUWL2eOW
0J660dCXYpx3iUnn4oTiSnDztvcQZsc4ylDLl2Rdt9vENU8EQ5cL3e8+zlVwHfT00ZdMwXPoIqFZ
21vmsPkyMep43eDc3GAwf/X19ByFBMdmYbTWff9cZP6u44Bejq72OQ7iR0hhNWbvEOCoqX+24upp
SL2VBqhj0eAneR0ae60Z2ssgGGuMHXmNEowKrM301knFR0Qdx9ZwP7tze6T1vsyGOJLhKBZtaV9l
WZrngoTpTGe+VbnO0ZINsSR00JoZ3Q2h3i/SePpoug+pthaTd6xiQiqGhPShKG6WRaU9xAMEmC7N
brFzaEvin14qrbtLcNkvGWXdRDZ2AcfqVtYILTBO1prm7Gbl7egCRt16gy6xISo8i/wzOROIvNMr
S8ZlL/jWTVSbg0vERprPH31n6DYEbS0dlp02OvdMI8G8G+pTP857v4rfEPTjfTUMeCSjj0Uxue8y
+81vUOf2EtB6UbtPoQYkz8gDbuIywrIWdTj6eBbiDM8IPysA8P2ihPv3xDUpyP/mxH0fXj//7Mzl
p34/c5V7CdUonibKuB/5FLCzYW7zLPCIn+Y4/O3MJQnXdEjXo2ACFcqP/75ht4Cc6vZXk6uHXeqf
LRnJmf7zkUs7afu0MWw6+Su+L8uCPq4sIvSma1zcWJOr2MpMu2XnP8rZHBf6ZNYL3yxO3pzdeZN4
m6pMW7raTHZcBO8exB0cmc4/tKl/tXS6Bak5byQAnLPef5rn+tEa4TT34abWHMC76P3IYK9w/jvm
0hjnrW7mJ2TICKCDwV+kM9MlvUYHT/vFEi59cnCybiw6UyABNes3EBalaT+nGZf5NL8RRcBiLfV3
Y90/pnF30/jiEjPn2aLLuc+JHitLGV6CoTuU41AtJq09Gh5jSllAWpMl73leJZ4FN7Hf9160YaIQ
4JIoNkWkfegrRnKc6ajYLrR9m1lEtEauG6wxKSKWBQyexPWm9rBcWXCaYLZ/Lv342qaGQ1pBPd3P
Wo5NIbAIzW2Xcy05/xIr5uAWqBcKLVn7mv2Szyk8xTFwsVfq2cEtY39Vj5AHNBmoDIRk5Y1qt+jb
K3+iMhn9eWEZ/b2DNYKZoP0EobFOl2HcCAZjPYf2oif+E7O8w2by0RhHRitYsWryUgAtk1uRdEPD
9vNrUh5kb7EKSrZ+NUZ+5uvrlGA9PZO7WSXt9Spzj9CdrdRJ4fsaYRVgLhAu+ghcR+8VwVaZyu5D
R/pxVml+qGIZ8BHw1xH0F2O7IPYPsGaJ+7TdTwQCygYAqkNEYGnqGvlwlb0w3OHs60D6UpZZGIg/
TMI55CppMCdysDbs+lHk2CVywQmvQgnHPdqMrUySYBfbgbXQ4mCHCLNchrV1nFS2IQl57n7SwKPP
BB9qAzYchyhEEiIx7w3wx3HjeoQlzr6dLvSyIkMnLCCHaXCxiVaM44gQB8IWCzPYWIQvthrStKbp
n2Ym8RnxjKXFZ8YD/ln3WH0H6SMuiJcwb26kSnaUnbdLiXpsmyLn10c7FmguMXT5uiAWMu9drmaC
Igd8PkzVX7spXoMOPvoEShpx9eLEY7cKLFZjqUqdzJrsgePiMaKxXVS9aPnT0iNGvHU1G9Wic19q
fNGLpnfOTeXezZHY6hYQTJV2qU/4w4i/tInBNLNy4xKLifb8KityMmtnNk8AFCFiEKJJ9s7FtMJN
WnxOMUH3TPTW7Rhsy3hUqFkQJ0BEbmLHxhZM0KuvMCid2z7PCoyCw/w1V6gUW0+7pd4CQ81CACXD
9OAosIosM0LBGvcBNN0RH8XL7EXnDBaLZRJ6pOAsPpSWINd3ue9xGbn1nj0KF2CgrDeAXSC82Imo
uKGMBy7jZ1dBYGCHXLoY/wZ0GH+emnWijTdlwMonbw2xDELThctS2ItMAWa8jn2KncrsZkr9uxTg
mBpF1/tgiPQ1oVZA4hz/TUKtSaHXBApjExAxvGq/om2m2qessY+V14qbGf6NNikSTjDUyX1VGJ+C
CTRmmM6Pc1merDl8M9gS9Fk/7fLA19Zdal4iHP2QY6IWtxIrHFBj72XlzuseGBfYs0o52moOdiC8
Cwf7B8+irFkGojnNhnvsTOMQ98Y+irq7hk0T/h+IKLO4yF47ljnvMk7rVdVF4ElmTazQPK6SKO/Z
wIpfpmD/HvlqHPXXR/5N9vrpvflJm81PfXfkExv0q3JItbm/t9kkd5D6jqCOUe7XhvmbIx8zBiAM
HYU3g9gf4jnIpBf4o3EZkIf0jzjkSND+fOaDrvfo+iAsKFX592c+WYMU0sIdr50cWEl06YdymO7A
xkJy9cMrObbJJ6jaBbhe6wFIMYeHpdG8uOMXLdI3aJ/EYrY0lmtwS0HEsQN1WXaSHPvWhHRdMoNY
xI7uTvhZyEFcBttxCM4wyYtVVLlvvRXfO8P8IaLBYa/YYe6sxFKWUb5L3epgqeY/d+EYW36xmTPz
ntdajZ3RL5qxj1ZmP8Hl91B/BLNzBvLzyMiZyjcNPyetdxasUnQhrxEBe6XLw5EH0K0Z6foGOvyw
SMRwI0327Mp7s3BNSUy9SrHgSUW5srRQGu6p5WLOGGNnYNreEEnY4rzqvHUPGWFtpQEIr4wpmZX7
u6ASD42PH3vyV71lrfuKggjsXgyEetrDpxHLrohI4tXnJ9v/DHJx1ZhSNXEHd+iee32Ol1WCPZj0
OoiFE/WNM8AEtuX0PugEVBguIU0aRmM9egqNPFwAxkXEwGaPbRRFhmraXMzTLuHy8DTL5qnU7DdU
VUcIB6wt55WDibdujX0fpLfmhAImtJ07j08oiGF8ayVI2yy7NMK/c2L9LZUzuVW6z2OSxAmURONj
boqXhLm9WbkjzUhBaHdv4N2Q7hHk3gM09mLpzPpTPCTkIxRgpa2AwOTmgvCFuAxSKdosA2AffZSD
9lBZKCMiedf5zoaIlOdeSz5lTAYXNszdZVMBMpzV7t5s6y/uNN3rPZjdWoXsZulpTFx2cskqEF/Q
HKwDU8G8+3lTuWW7MoUKgsBOmni0qKG7nRPXXjRF+dEqnBcLCiCMJPkq+pHry0Bzk6vExaErT8aQ
fQ64Iv3GyuEO4jPNnEPvTLvS6T4PmsAnEFkPNk1xGMPjJsfzxtDHDgcsfHNaumjRaFOy0iIc1RPZ
mDTI6VPS8SHNFHmkz2M/F7l51znVmsR2rKd546/xCBI3gdXuYvblk2yJwdhb3HMvOZOiUmFcopCV
Nljxx7KeIuItG38fpOh4SreVW0ggQDn6UYC0MZL1pJKgYq36wqyk81ED1B1HUxQk07rL03p+HL7W
hPYgPaq1kOz1+yKwqLDYsz7FIinXgpoSU8gMkENgaBaUm6ru9JIEY4u/naqRkpQQtxVOuOzAptJd
55gtERJYL+VgJ7jHuN2yiEsaTruziGi0Y2bn5NHnq9Dz5b1XUQGX6GpkNH+GFUBSSeitYmponVq6
T3OKaon4r3C8aIU9mS2ke5ECuh2V+Kx7H2Iq88gjcQVZ8AYB4z6mdm9QFWTU8lncbypVv81U+WWF
cE6j7hdREV4yOoFUOPd8usaWKK9Lm1Cn0TP49A6NJYplGIxvrSOeytJ6znUX2Az9RpJBzq/reVYq
pycbDB1DLDp3xByXUTUshWpd0ig76fQy/FdzKZWAve5sRgQ0PGaN08BKv0x0QlXiPlV1fM4a8da0
OC313L069E5OX+oLUUdkR1L2s0tmWKIHxpsukzuP3osvjyYsAVvSpe5jPgwjd4jVLe3Ri9assleO
Outp8RAhc/yXHTfTxK3nUhi0kblvVaVAiuNdQunQU0LolBKAck5wLfB6qiojA5+9CAayBKyYkJPe
BYMjcmNeBxQoWgSxvfTrZNP1fryoKv1SqHpmUJWNSYkzh8GrNuWniNJHUzWQIadP5FUk95PiBTaA
AytFEMwBRqxcoIIjmzoEVEwPKVoeY885RlX1KZ7pP3HD5w+Mt3ZaYT5i/M+XQcW3kbkB+QfwDT2Q
hjpoQzeviMRzeiJ+OB2q7pNvjkx88oxrDc3RSMGnh7CGG13lazP0LdZCpVG1Qdf6H80crOr537UD
owvEz0wf/roiun/9BMSAtcNP2C/qJ3+vigB1mow0dPfXbOfvqiLPoWD67f/wU78NQgC8WI7ASmDx
D9NWKc1/LB90ciBBrbJO9v8pqNNUWu8flw+ks/DXYU5jVvOjF8VKhoKbUo5XSZjzUjAY2aDBSNYV
Wcq5KzsawLS1YF+I4WVM8mNFvi7sP8/l1o3jZTCFhDgUngEExlkzyuaMmQp36eixdtS7+dUOzPkC
xvZ9dGqCtxALLaosuLd6zTkXA5GE02DVm4pIswtSg3USRk8dnKhRL8AB+N4h78yDaIwvqZyexojy
QaTkCyMFM8ydH1Mt+QnGhTgn7DHJCEGE3ZytaNrha6uQAcrV98QVj6OjfUwH7X0clKGflJmlHOmR
AVR/rslPg/SsXTp96FfQtKbFmLI/GHznbYpQkyvA6TKjbqG66+IVaetPUV7emg7YxBIJtTuJfln3
3bAOyXINz2G8h6hxR+4Vgs3gfVYK1OLGMdAqwtG6FFQAs0w+5DW8KQiHUWE/DDaAfj35MoWq0cvM
Ww/wDKpltN1D2DIp7lgf9ljD+yzKNrLL4GT6Vr1qnOk+Dzt71QE33TH6TpYWhEvK0556oiRaIo+N
edkGib/WOqddiS7cpRGNdE6mGgyw5A7dr7mSdMiLZOLEN2Jyb+wSAElTK2EZ86NliuzmwPrlriRX
ZCEQHGyZuu6plOJVYxFuLPCp7PoAGORTEWpueDbbOf+QtLYG3BS8Bh/fMC+lhQR5kPG4LmzvS4sO
SUbDNeoaBH9fH0zd14dUo9Kj8qx0NWiMzMxjYQQbAryMq6vHgEgJj+BxORWbSozlOZ/N+JEFw1MD
QQgErP8xjWWOZJz8g1EkJsF3PenOk/fgF+PeIm6vaoIeCRMbk8YwHrU+MKCSj9ZaBnOxHUawbUAc
64XbsuduC2ZSMLYWVjucJVL4B64AFlzCJb26zuRNMVEle/1YPRDn8day2T66qTkw54neKyOCdiDI
aI5946KBqmMlhx4r12yD86frd00fNDsTGe597dQZIBm3eEhNFL+VEUcsU6qH0utWXedQfPUzQJLY
JieV6q0PNFTciKaBIU3IRH2I3FYjl3kK/sWOEdmyRGfLQarxoZv0VxlUyzoan5hlVqyf9AmWOWky
ofBRqkuh7TXNHz8SWz0iPq6DVex1xVZWZfoptex2l6EZXZCiTihnJHcD25R10/kzmcasQwBtkJA8
WkZwihBbnb1hurT0c0xOUFIw1uPOJGF8A7OE+DezIFXGmwFAGdBEIdfO63/Po6/nkVJb/PV59NCX
GZTv9z/36OrnfjuN8L3h4cGCjCfUVka1b04j/T+OTS/OklxFPijc2B+nESlhlqcDgcAqp4bvv59G
f+Zc/oNV+C824T9W4cqsLNgMWI6hDNIqsPP7Ht0YbNhiZZ5fZ+Dn6MMXxMSTiQ4WfYacuxkUKT0B
mS4UOx0Wwk7vjW2MfSXqtT2xepTu5m2BNK8Hvj621WsKjB1Ox5IM9rOcjVPoi90csW5MFb89csOX
FqD7oMjuDoh3n23BEgQv1HfFf5+NMSNeEzVflkbwaBUnvgQY3/9Cjs9vPMWS90s4wTMrMrb2MOzt
jQV2PpLltVIc+spPnkcDbFkJop5pdE8nn7qLVPHre6ckcACivS0j6vcIyn08wLu3J+/UAcC3AOFb
k3yfxHwGmPaWAcofJwJriAHbliD0HVsBdoHq28D1M0XZ9yP70YLlNZfdx5GoYzKEBlT0aGpH37sR
oPqzvCRhJ70kI5GDmhEse0X1T1wgzEajffAVP7EkdFEnAoAQSQbJhAJYKh0AHAzdo0oMAJYPtSrx
P0o3v8Geg1XDKy9VfauX1iYndGByeVzb/qa35N3E6JqRNWYqYgosA4dEpj0PIkBRrG+cHiyxP6C5
t7L8LSbqoNLIPMhV+oEhk8uk8hBqghF0GchVq7ISarF3voYnkDtT0jyQqBASrRCojIXcJm1h6gdY
ViBcVA5DrBIZurp46vkzApqaZapSGzg7tnas89l4MKr06UgaE4ylhJkDGtZsVar8h2my7mKvPI5j
8FnU5JzFjvMgSudOM3GacaCefJUm0atciUglTMRNdKexFLaTTpzQu6Mnq5MHLyg+eTo7lCC/zYmr
SIrmKfTZwGKmI9OCN7WrVLqFz15nEbC5WbpEX1hCdYpusMxYaqDt7VczMRn2nG5ZSexS08rWRQ/l
y2z7d8+2q5VwWA/rxG2Qqbz2jSo7RTafdq0yOb7iHwtJa261DXoCxEqLGbTnwkHVcWaA/FgT8IHA
xFsKPWHKE2sGOl26XihGPYP48qiXMjsZ4LJ7r32OCQ+xhX2H3CFeuipXRDNIGMlV1kgRINj2J2h4
BHV+rAgk8QgmsewRs7Y9X1CwMHXQjJVFiIlfeXc9oSajxWrfCIK9m2rknXDRI0XxNlJloaBRwIMR
pi0oI7z/SU1mijZPr6E1Ewih8lQyPtFFR9vTDdpKJ3LFmFyyV1QKCwtAMChmvp7A1lDeqKiWgcwW
QM6v3UCGixwe0owSQHo38KLTJYEuAiwQwS8WCTCTpxWLjkwY1QxGX3O84hqmksF+rLcx7BTEffG9
TgdYe2v8VAJfq2kRZi3eVYBahqgewThoByBsa8LSXss53k1VZy/Z7k18XTHruZGEkakpmQjW4z1o
1ZLJVQcKygyBKdAhLMeBIeJIluGC//7FzOSEJCYLFqmI8Stl2l3d6+9tziUhnDw+lK77WDX1pc2w
QsH7f6d5vbrauAE75CAAyMS6QMC9cQA7ktLXnAJD3zL64NvmEz/WyPAWacHV1HfFi6AW25Qaz+Aw
9vzlMDQCJUi4C4Qjd6XBnsqJy63Po1Gk8aamsl9GkTjPXXRt1SABShjqnti6p30YUYyWN3Wrk10o
HnA6sOQ07tGdm8tyxmeil+4rwLZD5UQHkze3GmOd5aHeP2INMpYBe0fWeEOyaGwu6rQNXoiaf2m6
+i5qRbgLoRxAg+zhBrMJEV1/X3k45ZqU79fSSDOxANqOLrgvFlZvSZPxqKAZj/wrD7ptWON+M0X7
MAXjU2p2H5ras/BY9B+ET8atAWh5BbIzOs5tMlAiwXOZIjWWCmtUDoaFMye5L+DOzVVfroLUeBlT
qRZICbm6uKE9PzUXFhs3vzGfBud2bA9z8DzGRxFZt0VSE58HhEjLH2Mr56spuq1TlIwfyxaKi9Fi
f3TeDR70a0P6NzicuLWFFgAEnDJif+d4nbkxFjCBYdYfT6TF3Q2+uXMlWGaJ5meeDBVGc4xKmIhx
2H9wuylZ6HV3qLvLoFxHNvmQoRveiAktbMZKF4ttg1GgiVmpzdssa5ITyg9jQy9w9idX2wwMJzbs
gJPFbFgw8iuPbyvI12MVHmw1sm0ZaZEvXYY+noye3F4hy3cPGch5LLqFUCgs2/2QQFTfUsC78aKr
5+liROShRS3fM+nCDkIjIoVj2Gk8vw5BN/tX3LzlVZ81MoPbTuwHN7qQx+55r72Ypu0spcnzmDE9
hwdRk3W4yW3jbFb2nqfRwQm4dFBtw9pihqI1gkEg3ArUxTUIzlbbRbW4CNGGuyLS361Jf6fLfePI
wfBA+Tvp2ir33JWJAs3C1Uv6nFGuWK59kjHbPDskXFBPTFQw8FGL0HmOJH7GyWCpONZMroy2xFHG
bG3QlEfQQbSzyqq3Tj8YIlABkjtNG80LWWpXqyJqJyadbZlm+iMfP6e4kb1XMjkMEJQ3VS1vmxZG
mUeasW257O8lqGMIb6qLrOKFUY/PRcdAUmb3tphWTmY/5n59M9UJbNY53Y8CdGWc3QzcJwiH5AY3
1YNbik88XG+wGBZL2kmiJZ36ztCaDQ84YzuKhiPbaC9FxMLAJWeicOhPacSvrt9AagwiXHd+Oq0b
yTyU536Gx4+Q0cZp17mk568cOtC4NF9nmiymcOPWjRMezri+KXKfm6Y6STdzGZNpa4Oej5EfkRUJ
MjTzjq3/kTt3hxmdlcMYPVYzYdpJnJ1Hg6M2NU5xQAxeVn6wK+N5DFLOiML90LJ+KCXu4zH2NSDK
jGx9O3zKJx3REFj+OT40ojnLMNxUowkmPfaI3Kg4ozXnsa+G8wzHnKHEWybY66dGxtc+nZgq97up
mTrW2845N5BlODkPQi3a6nbskIQsMCqap1Gfj31jWcsQexpbA9L7xjy/sQJ9XoWdpy00PEqrIYLx
NvTILEeUqdjDi2lZtaQHeHOzaxnQk66evLkjNYwn+xu3ai2YpkO5Df22PeV1My1razxmieupHO5t
mgXa1s/HhJoz6Li5bNxw4sHptIMTu/nWicq9T7XF9LqyErJrGXn8yjr5d2GqGqS/bsfuX4v/O/Vx
+3/XN+IufzYj5Me/6cpgJ6Bu8k3dY6bHjO6bzakl0IhjdNFJk1IN229dGdwFn5/x+B+eDpCEn/pt
Rij+A5CBH9MVh+er+uofdGV/mhDShnm25wuT34dt+IeerCF6ukUfHV5xbC1aE8zsf0PysZj8bgqp
PEueRVkEnpohvMeb+r7vy41S96tskhcs1fsi6v0NFqak2bi5PEtLOiOrmKndztOAY1CrkAganWff
myxIONXZqZ3dxvXbfREG9blvCKxF+2E59dlxNJiLogW3AFbBQHKApoE6bdQr5mCAY7FkUfrIet42
2EzXI4zCbROJet2WY7K1HHSHxeDcJG6hKHc5yN+SKV+MShNrWVMm2rbIscXcF80cfclRGG2sX0xd
XovKx//F7OVn/NvaqNgtrKOvjjB2YLjDeH7Xt53kr4jhz86aYS80GT1blXGMZEQ5lNG3pbizraHe
4og5jb1jLNxOu/TR8GSn1kPtt/cNVt2wGJ4cHhhUzXWJslOc6kasQ1GfsETvDSBQOOjRP4fSOXKE
LIDEeNTBJaIgShSdldpcTofG1l+qJMEunrmQFsr62sROsgOmT6Cu/hY56cTKgsWqCHhSeZnxHmVE
lEyEbU+lg2bcRywUCsqXTkp7C3dmPhK8ehx4DklCVjuNQKY8s5sVmQ/IlCvE6PE5H21rHVggFsKo
2s5zsyfd9y6y62ybFDZlp5buG4J9Qcoa+6KVDbTN/L5sumNkscfWJt35NA0856cmHJdM4zey4lKV
RrwWzDtpdgo4ksFeVvV5FEA9DKiu2D6JffA8zu8wsdXhSCspScRtC/QkLHpMYukEgp6pO9cc1YyT
mz2232lbZvq7cPrPBjbobZM5Oc0xwKhFlNrxbVV4+cqQIraxBKPecw3t4KeJsWU2+ynVov3sMGg2
3Mcu0rZZRB6zh3gnSD01sTgh2bodCvQxzC2TJlgrk2HuIEvHvL/1xs6Efc0Hz3m2a/Xhg6H0RRUp
RuxiP87OcC51jNVxIw92pt/M/NLBKM45qqJZGNu+0l7NFi2/JvdMhk9WoO1890kGH0tvPuAg9jY2
2PPGtekFDRzl8m2gCe87Ql8F9krbnG7CIDGWlpk6pCf5L+icXix0G6tmNE6+KELOrSs0INjc9MNz
zxE21xs30h482T4KUohliN/fjigxB5VSEDPkzgcIE2W6p00ANz4YT5UWPXhe/qhVKmOS9J+w+mK6
8lD72kFK6Oxt4hzqxN9mTtYvPJdUh9Lo96IX3Z0YkwPv72gn+kcaEQo2K4MnW8K4MK2KbAkh053U
cvOlxJD73HolWmc5TQERhUF6JwMXzLfMjDVyCsDWcRetak0588Hkk1QBNqI2NX01cluchsqOL72Y
gX1kzRC0y75y1B1Gdi6BFz7rAK8OvLeZWHRCEJ0nrTWd9dA6/8/eee3Gka1Z+lUafR9CxA4PdPdF
ep+0IsWbACVS4b2Pp+9vU6ZIllrVhTkDzACFc3MKVWQm02yz/rW+dfJABS+9pOhmjeHWfJh12czR
Jnsum3gZhHnVqNAOmYqWVH3TJaxp0Z7M9nVaxFx/+xxzR1FjV3ONe8sC00FdddlylLWHOts5QCKO
XhHwYk+cAKkN/mzAyMMFOAZ85VzeI/NG9SmYrqORmpPRP0SMPMFHe5fkZD/TnD2PPMyXER5YT1Gv
ZYWKrhcPdRsvpzzadFHz1a76c2JO0cr3QMHi1/skohZVyH7IR2WGQCBmhkZpk9czFm7qzJlF9nio
PXMxjmhN3KejUjylcHHWBZHmKOs+dboH86CBYhK2DxzqV0XF2xzTn+bZd1pWfzTb7M7UcvzcQ3Q9
JOMhc/tNUzLzUfrozg/GbdjzFR2GY+elaz/llqcm1lXTTGemB5+GwDzl+FIco7vrOYRpPZlgG8RQ
Z7gsFnSW8W4wgo8fplIiOiNrTZkL4mMC3qBxwq1fD8Ey0GFdRqZ1TeM5r2BCj4ef2Td4SHeNDhsL
0i8ls8G+9HJqqnEXQ59oNnnk35lAnGe6Wm3MVF/Ks7jSDnBC+OvTwD4AqNlUsb9DV/jkFt3CY1Be
OPGZKeAmTpnw1vQopCJ+VBxlgV63aSGnzADqP6pNvOO1XoTTgJVQuDujHS/rQuVpGrTDqMqmMq0H
D1JLxz3RaLprD96N45jTilFePkvD4ALj0FdPZXhMteSDakT6TEzh0TWTdemVN2nWTIs4yze0L5Qb
gN+Sf0EtqRAwS8IHy0MbqtBLhMibVZaq2iw3jP5CFdiTqKXVl7FT3Wdq4K8U1TmrtFphlylLGV7A
5c/taIWn7AuiYMqsxVfu+8Li88KAZjmqjBd0I0ye6IfgxqWnAb1zozj2dPB8fXU++0WiWaasXknP
MnNqgDO1OIUwV/0T1laLTY2OME85RRHwi4+x+9kw1/9nDyFPWq9irSOfYitmdHNSEQws+9wW5yG6
+P1jvA2TvaS/+TMs6W0ntWbqHBhfP4bAJkZEIvTPKjUBjn2eGmABNwjCv38YGVZ9/2qZHFq5hzDC
Zn789mH8PAK2FXf+uYUjU0YBB0O+h+Vta1xIYJJVwwwxvwVo/7lKyDfp91eJ2XMW/tJpwE/+uEVA
dSPOwNCDlCMDIzk7eXWLsKBxCgb9wAFk5djPWwRUN3ppBF9GHJpvuG6WHBWR4mW6jR0CjOjfSjna
f4pcuNxwVNYVgfVS0DXz9hPDCdw0yTcpVCSlEZr2tgs9po2JBYBBUqpie9wokluFc/cSfwFKo2Ra
9cCtekm5wr1PbxlqXiEJWMxpUFEkFauUfKwQUFYPMCsHnFWo5RGpaTtJolYh2VpG3lMnr99yhFun
kr7lN3RUSR4XZSpfLABdnK3ruaerl65kd/UO5JYqqu7Uwf46IHOuor64TkV0a2vSqxVjTGoV7hJI
KfdGW7SLUCsWaYzAGvkF5KJcWVE53s6QTNZ9zNkQNAxMqjbdUZ7S05Hl5TgVIMooC28wHoqkU8bL
qO+cbkUVQk8/SC47muhsUwvyFbLMyeW8lMt6p0Lj9tPJyifBYBpCh77sZB1ULHuhZEGUmyWUCaKb
t2r01NAh5amGC+fNMWd6c0q6W1HnNmY3Sqd6F8UPN/e1LQupNJqpIllRNSBQLqGv0Nmdd3vLq+td
qWafAb9F9B4mQa4uMS2y8VqpIS7L2KeuNLBNVub4RuXgEdvtOKOwWJVGjPvMyD+moc04bBryAxLK
OFdsdlqb6IxfMLXLT7VWr1POaIlr7wbTu7eJ5BagtsYtt4oVLbHqVsMmx5m0HkHuoO55FngPNZn0
Oc/nzvGbcNfh61wWvHz0GHiK5M6lZ+LXN7hGCb0UyB8uuCPjBXzUSAYStWiQaTjBg0bSeuc4ifFS
releVa265MiHG7Mq1GsfI61Xwlia6HopgS4pYKEwd1yakb2FO7iOu3aDil4vOnBNjZOeBxc44SBQ
wgA6GSnvfA/NLjI5pKbRHcdDFLZg3WNaSCUSyoUNNcCIKmBFVTCjKthRYYMNV8KkIomVsiRgaoI0
NTAoW3GFFquB8xTysLrnLafSs42eI2x6XcVzU0bfXOoSY2XBsyLeutbhW4mKbnoJvGra5Ih17SqV
KKxRQrF0xbgO2/5zpqDP1TdVq2lzQgmXPjStooaGV0w7WIYfVTfqKWSA/Ad/KxyREHOIXGEdP6QS
0aXYFoDAkVMO9K5AYrw0CfQqIXu5npYv1bSHYTcRdcL1gatRYFPIa2WRwwYTjvlZL1TYh5Ia5gfn
HopYWfVyhPUxkXgxVYyrUgLHQthiHgSyKM1OrUSSAe7+3ElIGUHEgyuxZSSN90nCfwbPrG8Am/VV
unUgnXWyn0Kiz4ZB14kcmRQ2vJDRYLeM6HKSlxaokp2mWP6nCJpaZjLR4l78FXflBnjcpxruWu92
S0K460h3Hhq4bGlrKPMc3wb5pHkDua3yi3v6fAO6hzAXIbIeHChvjlbS4wAYiCCmfh9CguvritYX
0HC5Y1zqsOJIil8KCY8bp+5oSpzcAFfOyypn61bFJoA4FzrxXSTig6/WtzYVMWBX1asGRp0okmMA
sy5W2zvOjNeVhNmlUO2MlK+aWh1DaHeDxN75I67yCBJeIsp9CRmPD8kul6i8AGZe7RH4lRC9tu3u
U1HSqwWQp4Ozl8PbU1xtr+gA+Mpe2RoQ+VTIfE1VblNIfT3FMe4UHwaArk0yXTYdcCA7LY86jL+h
4CPrYK1J6+TWgwIYMwI3SnPbQAesjWIXQAvU9OBjV4fXJhRBOhWSGTUAzP3BB8EZjDnFahI8OEEg
9ER1oL5vl0k0YQ2jMMjjfcgBdoBdiAWfQ+zIDTwv1XnEENDowlUG7xDo5j6Ef/iyJf9zNpE0gt+f
TRbhs/8rgZMf/HE00awPqsPm/x2XIHOdP44mms2pBXURCOB3qfLn0UT/ABtBHlr+OLX8EDjFB845
OvxaldqLv3s2ASr75jRLIIVfJoCy6GRSXQ2A+duzCbOHoA6A0h2ZQOBzNikB9eEcW2a8S8O0Lwht
dpONkQLwpABYmI3TdUumwcdkfdDbyH6Mg2yuN8S51fIBK4WmXZBkZLoVdeSsZnWXueeUIuSdr7dJ
uAVtKG6o5VPMrVarlTJzXaU5p57u7eLRUpuliNGMrkOb8Nl+8qek/uIySeqPlY6n5JJDzbqzsuSZ
CFa4yLOwZbM3iIas1Yj0uls6YXfVlGOzNRLBfj5NWJSXnjq2RBVtNB27DNS9aF1vX5UoKfRhw1AI
BrecV2XVLFt1DPdmMxoHz2OWOYtofHps64wkmVF6WL5tg3U9Rqe9CAT94GP2AGLuS2SxBoOOSeeF
ZT4XTfpsubmGazItjSfoq3OHWYso/X6bTaq5amKlfehJus46oWIl7eNWY0baIyOyqt9pCsYxN+49
xmrQD2s9E9tA8YKDEgsSM1pF9KNsh+1UFOUafkY+rzCmYU/JmBc5Bc6LioXCJYHDm1ssLOS+uq89
1OJ077RUZJteZR85lE7b2GAmFQqgZYYbMIpCuKh8ga4xOtE8r9sM8GO8KBz32TGQ7Zxu2iQaS2oU
WmtmxXAz6xQdwGMwTsHRvUHP0yLup46prLnONRfwXDNw0636U6wPaIoBxkA3MYdFBaWG6F4hzmAr
4msFJfQqs6zsOVKNapeWYXYXdVRukRWgLauL9v+sWi9eOeMvvNtZ8/hv9K9PLFFUvDTj9uk//137
+ZM/li2hfTAdRh66I4FqL260H8uWEB90OiCYzPxshf4xl7E/CKwp6AnfOfHMMn4sW9YHLG6mwFzD
GvMSdvsbcxn6At4tWyZoIdZNywJjZMun8nbZcj0lt3zHAX85hPkKMERFygo3bzJkd2GlEyaSHM1a
YLBNYtIEEFC3palRraziWkjTfgejUJ9hSaL9V203Pl1bROhMbMo5V5Cs5exNwi2yo8+9h2sIACAQ
zYwdPJH0T1tyQJVidC+CMr01JSe07HU6KJlHwAu89f2GtEd4B+byJqWV5mzLczlD/H7WyrO6ikK/
Szm+ewbMlph6TCfG8jS04pmLU7vyhdLfZKW7sTi3R8UwrtQho4NruCo1/Oo51TbMR04d3h8GHWtT
rYnsmVA/7Oqa6FE1q8b8WJtA6v1GX8eg5Mi71V9GHNGMR/1uaeN7muuhR7ypvMYKuyLpAowTgmBd
VeG2S+wHTQvseT/0p06yEZ0JFjcYxXk7QGXMQ20xxETzkkqaxKcrz6fvzlQ0Xpo27PZJyF0iNf0T
BIud65BRAQy4nBrlKYoS2idLBEE/D9f9hP+u9EgPKl1sYFEi+dVOVDImzoXuUwCtN9J/LpXURr+K
CDrn9RPFUl9tfl0L9J9fRaAp0OrHgLsSbm/uOobdcFQnlILsrc0QcWZ50mFETwxw1GO9cXL3igUF
M06qHcshGpZqqRVAfGWijM/wehLixpgYmMedu3AU8xZolrsru4i0Ii54q/ROak0aHpzLClTpvs6b
i97LF02irsGKrvLBxU1vhneuURvrbBC0lNVpsHCTcjWFrLzleC/ydGVk3YPRj/BK9e6qq8lXalP/
zCMPy0FPnju71M7Y9GEVaONFNBB88uLg6LaKd+j06jPcdntGvFlsQz+zHgIltZel3bpwibKanOa0
MmOCU1XUFSe/U6iz9PP6cqhzkWIu8YEG6EVJlaHlPDmF0+86Uycfb6+qYtg0Oukbk35X3as+uQaH
cWPMoEcXPATQkYIux6ofEf5NXmKHgbuSBtOtXuT4VsXYz/XCvnZKa99o43MSlPECkfGKTlN/b03d
ckpJncM611zgkrHFXIck/1M0Fe62ye2nwSamCKQUY0cHAy/X6sumzHmJq6MX46hCgi8welH5Bp0F
hyTTvhznmuc76A7DyE/Q0ElSyx9XkeZ9TQrvIgEeS76pUc9d0MJuaQ2B0JzsS5Gpy0m1yo3fYoiB
6I5FatdHol6EnvgUFRM2CKtpDoGhqEe9r8xnVfXim1w1ik3SOUj+WhIg6/6zO73sMTqi7e/P1Kvq
MfsS1l9+da7mh39uUIK9hoG5oZo2rm6JL/u5QekfNMhkxKbZvQA3sgv9sUExBrANHAU/f+rHBoWd
mw4T9hUN/RAo2t/S/N6fqoktcZ62TP7HLzVeuGev5G5mkKoTedWEBn1XOthkOZ69emF+odm/E7u/
2cUd0Pg0Zwse4t25nfCBVQyFrp3rQSEPic2OvmXzqes2v3+ct3/Jd1v6q8d5t9FSy1mACzO1s8mC
p1WH3n76/QNIC/1rPf1Pf8k7ddTXyky0AX+JGOxZZ9za7lfwUDiCz27bLTGGzOvuU9Fu2vCiYRKu
hc9RAHP4QuSXTQZEjb2hxA3uQ9fC3GhcttF1z2I74Bj+/TOVd7XfPlM+WK8HDJhiPYKw8rVgaC/x
KcVd24XzXDPOPTYCnPSzcPxqK2JW8n8dK5z//gnI7NufngA5ftNSSQuYIIbePoHM8bWmU+3xzPZF
XbnmVskhZk7RzMcCk/bcBWQH2d9xdtVQz8y2v9LIeTJyyuGTqco0r0DCkL1vVRDdvrrrSeJU6yS9
F6m+6z2VtJtQIu120FMMILEb4cmmyTyLomVlVdsCbRPkOUa5EcFvXAfTubPCZeoTkmUjaS2cJPgz
U3EB2nflgYEn3O7XN7Dejjp9pBVt2B2gUdFTxmCasGWS2RgVi5gC0KIsya0jDZcVL6I2b8Hp26q0
U27G8r6O2L/pESz7bK81xmUUHaMhXXdwRW9TM5kV+qQvc/emMawFo0vunmACzdA3IMKWzkJ1UmOZ
x8mnRsEnn04VBjivll27fwGl1eU78MdwSAIN33zxjXdfFxx2ddQM9XRW1/rG206H5k5fA64/1zPt
0Gy4ZS6dhTsfV/p8xy1nlS+GT8o2XjVrdW0dw1X0LaL6PxKR344e/vz1fTcTM5KktVP5kcVmwFg2
6xcVJL0Vnba//2j+6pOpvlom5HL1asHD1jolAYLlGft0cjM8lbJle84ma3l/8SXQ3r7E3/6k11+C
d6Ysl/ej0nHbnAMGJheYKloCxyiN9ZLrvH+GW/P7P+1XK6CGRiLptbSMvm9jTK2U80iii3Mf1UTE
PnfKX8wtf7UAvn6Ad68dYwGbbjchznW3aM141uMdHv6qZfavHuTdKusOrjVRHSjObrefyl1j3Qjr
4fcv1K+2pNd/x7vlcWSvrqrUFGeuc7huYYlZV250ciHSvTzQv1pxPIZfqrzOvzb/IX/zl7wYq9AP
mv96+4/1t3/2n/PFY/P45h8o/+aCfNk+V+PVc90m/Oi3L578L/+3//L7NfuGQu///PfHJy57jOSa
KvzSsL28v4JLWtvvj0e7/LGkcvjXP/rzcKRSWAUF3eLqTl5aDhx/Ho7kxd7CUWTTgiXTbn8cjpwP
eC2R3nS8kwInAF+sPw5HBr6Ab7+MRLf59+ahctF5s0hyyHIp6zVVAyQsx7G3iwX3+XQYjLE6j0pH
NngmWo1tKcucCLpmkJ1Dg6UwwNhumdUa5It5WQJvmk2+eqV7xlVctc+5irY4DAE1Nt0+sLVVB2SE
EMtc6Si+yLSDk2mLSYAX6IwBhp1+UBM8IHqbnoRBYMq3D3WgrLDsXJJXvbVHDDbIU45XInQ5pMYc
gh7ZNibNENASN7MCfWs6wceKuw22ycsxTk4tdUv02ZwGmY92rQGFf1qblYbP2r810QsU/qJlUvWf
3bA5ei6rfKU/6D4KZtPsMs9aNbq774wSW1RwcnGgkyudYwQ8tRQM6Hl5ZKR1ZxvmJqAuxsUwpsTk
17ToxKlsiVl6UdbTIlC7T25YXwRBe/T7cd7lztqgtwEv1KkSBeLC17pyhcyFtFTwtLvJdR49WuRD
y7iLom6r1O6iM+urwJ/WCuSPtJhmVlFdj/UIEXMIz75pc/HlthZZt2adbqaxvkqd5nMmBqK92Snw
ykNnyXxWu0urcdOWIFpxrnFtP3GIoRjD3eq+cWUHJJMcpdg0dkbrfNIf45b7mzYyiPHiRz03yERZ
8yD0sJW1eESU5uCLdDH5HSZIyjRs5Spyh62meh+NFJHF1ZdWFmqzkg4RT7bVBJ5azuXMJXSSHoIH
GYFkbL1FHlqPdscIvCiHtVOYpKiHgiEcUmnaD5+JhuCDqioU7GU9uj2Cce1U0SbC/cmFFHTo2Zim
gdoz6l30Nd3J8EIJMS46GQWXmfC8bBPMlsVVnDfFLrOIadUyQ66RjTkO5tQtulED7olYxZCaTheq
66MroYl1LFROakTTowz+H6BhZ8mfNM0zgdVdk1l2VI9y2ch8eyuT7nSAmYua8HtojOUCatgw83Qr
Xk0yI88xSsx6YvNO1ajcrDmwRUTqSWAB+I6+9jJr7yriRiF8n5PwIRR9noS5Mgjnl3Xco90ytiW5
D0z16ETNncLcMjpWMuHPf0vWn5s/koq/DCUGIE8/9pILUHR1Q2kHrADmZVgGC+MzChgmNEkUKGqC
n0Q4iXUQGrOH6MnF/8VJH9JHJ5kEsXCe/cJ9yEZxawIt4PkHhLtVXK2SaKAXzBEDSTkwM9w2sJdR
4kA1FaAQdCfkQp/uYKN+NIbxa2uruwh0gpEH4WpQyGIAVSADt3TTpDwhWJerVJIXhGQw5MAYsiKg
RxfU7VIEnb5oDcxcFJTe99HEq1ymT0ou0UJDLxt4/GwVxcPWU3Dnqgwq3an7NOUYamkvOYeq/Vka
RwejQ34bUj63tkUqn7GgHSQEeZh1iJIiqiJhMKyLtZeL+4aeoRnLFKE3SMh+W3OIDu9HH2Kkqxhf
Qq9MFxalxVAkPitttcBHOc4HT6Xmz7vTyd3PR3jIk2jhV9B0g+9TzI2GjMpUFTcBNoCFGtGJThEc
QwHPu9cTopde4dl8vvQV+GwwM+SGl1MYj0CC+VpWvUP3ia5/TVVwi53nS7QkR/I47Gd9Wm4x9Vk8
t25XOPV5SEPMTkgkTqpv+0AFdtd9zFR11/QOFWmKi9QHJmnWqsMhDtTr3m/2ZhbckFFUZzQOLjLE
qZlj9PrCGpRDCIB4lo3xLS50yEYYFxaJXSTtdRDE2arqaz+YK7lMMQK1nCt0Ym8NEAxB0hmzTHWU
NQ14HcAJvJ9ZneYr5FQwpSNDI7o4bW1ILsOc+9r/lcPI+jk/AU2p3x4+/p8+i3A0+P1Z5PgIq/AX
JxF+8OdJBAA9dcj4SGQoA97Oq5MIk0xBz6tJdywkmNf5DvsDwUhhc07hpisbZ1+fRNB2uPli8fuX
yDSuwANmCpthq1DfXSXqtm/L1Br7s5pfVL6xHIGNvXpRLr4dal6XxfBMXx115GWFfAgHHQLBeNPo
PH571LF6O9Zbu23PtRHhuf2oqGeXei5jo3m4BXH/LH//eOLdQPfPjyif0aubmMA5E2IgbenAaRUs
9lLnHV8031zKv32VO7uuAZptSXG4tlZWNJZQ0QfPBBvWYE+WYjKatdhaOk6IsaQ0kuAerConINid
fMwcssJFpT51SvzVHZR72eeca8IAmQJGJfIJY2VjgudKBPiIMLfCXQt91GNrDXIgXJmmra988itr
bxyyeQhBa2ZXeOYZjlL+JEKmgc68aMMrh9MdXIZ8ZofdQSk93iXC9KkHcK0El0pac0a546UHCR/D
tr7Jc+2iA6vFmGqbqTi84sjf56DtyMDeVgq+rS576Cb9YrCDTQc+fKk19TpsjLVROLsgNIdZYOX9
ipxNTfnAeMxbe7q2G9VlTTfHOrvOy8DaWGgtEU1zm5L6zuZyehFf2rQCfJCgKTTYlE5ZOpkbo8Y/
TBynxL/hHCzG2LQPHjBkbYeYkbbrUSgYnwh63oF7IewPi4SCMX1VifAL9c1PiZKby940jkNh7DzC
1V1cHBqvX4L72xJVvVAhGGYeFuhhPED1ObROxRxiSlXidv2+7tS7kt4Dw8B0l2bTrZmgixDZjk9h
m11kcQPzncnsFO/UHDLDUBAsjBuS5uXggIHv4JQYdHfUkX3L4B5LlqL6K5EWoJPbvlknnqgvnbAc
D8mYA8x1BIgFtvf+bATOVd0ygtMwF9BNWK00aty8JLxoM+W674C64aaZkatfOqGLT6Z5sgOG1poV
XQqq5tw2bcHJaVRESkVnvGzaHKctGqTVG+u+6lYqk+YGt3SqqYs8z6+nzLhIvbJkZIVvq0ni7moY
gyvL07YVqDkmHPdUPc8H26yopVPQDsLqa4Y3EVLrGmY1VgHUKgNqPoy/Z7X39xkFjqWhkQK2XUo/
KcjV9ZAMVk9a378Iwu5omBHU9nQ9qCYJ5IzZmLev6xzbObacqZF9jCfM1wuBX4iF4nLErYcdkROf
bngrMEYfjaoGiEl/URljZIQyMW7inr6EKgHyw4GAQbyyi+vppi56gFFJwykqv446dcHRnY81dKN5
64hHt40eyT4e8zKJIE7QLIG/apx5dQ8QyOuczcsy86++gf//t+nJBfo3m17zmIV1guHjz7ue/Mmf
u576QY4eIL4KiC5vhxOSB2vhHnfMF2cxIsCP4YTzQbUhPuPssQVIVYt/9cf9W9ZBW9KmDwMYUPzf
uoDrb3cldiMHrY6n4LA1syur73YlghR6XA1Jfm5pVJiOlECY0UmDfiGWTZMmF/hAOtooEvNkFuVF
K0tYfMhklUhvOg1cFk7iQymqT3zrd0mdXYUp9SKKIEYWQX01zWMx5HSb2P3a12kvrOr4EKj93RRl
z1xVB7AtooaiaOWXdBevtJRdI0ALbknUwPTkQ5800bFh+xpwGywqvcu0zwjTMzygfrLqfSLbWwSO
KoSUYDU0KWgKM0T1JcObvuR5Se+Q7bW6YmvLuG9pA118SQDrL2lg7yUZ7Lp+YByqKKw/Rb2XLdqO
/sNV13bRNG/aaG/XmYVf2zXrfmlXJlCul2thnNkdzv+X6yLQFa6OCZfIFvsUZZvZnS3vl4DcMMvI
GydXz8LDMGXL22gk76Wwq46hvKkKsj4z2kCW5QRbO+A6m3t4lLneKtW0bbjudnY6z7oes2G2gHN5
GHoTAc+Cj8ZFuUrE1ViHj4WS77kvK7O8aY+tvFvbXLIdeduuXO2qgw8EdWjJNnFyZKBMr2ap0m/w
fe56ru3kRmEDZaeU63ybUyPN9d7lxiK47sduR4DL3niaf7awIM/KpLhOEAjsTCb31XWPcFA1wPCH
fosJ6i61CU8iMLhOvUuk4sDNQCDMfs1wwRpIEjrSRC8lioLrbV5T9VlfANj5BB9zYdPvWSBtZEg/
U05zHJIH5oJTxnmpRgqZ+vzYIY0Y2F9Jc4PRBbaCdBJBBK+RUibdXLVIK5EZrdnJHoQZrRykl0Jv
Pvs5WowMgvu2ewNVD1qvtnYQbTR5d22RcVoRLIADnCoLYzcyTzMptyayTxLJdxghiAzstkYYckJn
5iIUMd2fd1lyZyMg5WqAEVVZeYV5INW8AmN5UqMOtu+oHXokqI4nMXcRpWLEKcizO5wy8ypA4UC8
UsJh3yNm5TUGE1KRz5UtIFgMV5XUvTy/My/Zttah1aOJeQbWLUGFV6JG2zROkM5CkevoaB2vlzmU
Z9UyocHykWpdY5tgLJjTbl7gZ3afRn84qQPI21Q/2KF/OZSNtRhobaWD3F7oZfnQRCMfP91aFAVd
BGU3rhTde5gqIAMUv6yctL3BmbbUFR2Sk9FwcQbrAheXujI9Ney5EgBjKzol40atHT3DuDIqkoac
e0CbD7zjXeReRIWyrg0CDdgwNkUQK3OlpoKyHLRjE7Xr2KMyl4CW2tPaw6eDd0sINLa2vig5lc0z
o94LnSRbMNacOLDSevFBL4HK6/0ytcpTISTPuUy/kDvmzZgUtuAaA7c38mI1+NcTZws1VV8QY+bY
GTOu8yb0P4WiiBxe91wE8KuisDikIUnLuCGMKvL7xjY4cIoUCE86nVqp7cThk6XTwqM4AjQ0+dlB
khmzqLuyMvGRePZOMf2No7TJCkGxwBTUH01XG9E/WAEIzzK1KzIoBaXXzvqwKFdROx5ybD4zSw/P
cVzedlaLKhYMN75Fm1OgcbuVlQVE5Gi60uY4kJBkqogmrDSbA4bEqmgq/WHK9WQfmFb8z4X3u/+N
699v9n7qtnDOJY/V4y82f3705+avfYBloBEe4n18Ybf/Ib5jWmDfxW5r4rZ907lmcywwLGlAMGyJ
fEey/7H5Y53jzC/w4XFGZMDytzrX8Nq9uZJ+2/xJkRB5Mk0eTTonXl8Qbc3XwNmY+Vk4FdBjGSnR
eikSDfRWiMHXtpBDVgkJlCzNBKyQLPiUkk4hrbxyMLfnpFbsttxGpnKeFG+posWCobLzQyKjLhyr
P45kXxy3gN1bsyQ5SrPsyMd8q25uJiQ8GZvJI/tygLWC8jpFhbqkDpg2W8cEUqAN6omyrg5DvdGt
Ay+AYmdyIcnUBoSa5i6niHyU5lPM61CS7OUEXFQz37RWny4Uz6DphFqrcaQFBQKwuQiGZlh0nXrb
ac3Cho/di6ZGOzViSWutZmZlfrH4O+eFJMCVLgz4tuOcg+7HWD+LvrjwWJejl1OthmWQ0QBp9szw
tknBrYBpxjLPaIGDAJfsTfnd8+S3ELpyNjf4YuKqJRErv6tcX88QTedmNLI+TaQHrPYGAoKFS7G8
laSJQn7zSbAcjAFIti5XBZaVdpHJlaKXawacGeI1ZXssiohWujFPVlOnwPY0dyZLTsrS40bSjtAz
CJ96bWPL9WlkoepYsPxsOsEEg28l17I2qu4TFjevhcAVs9xx1oPbJ1dAP25BjbEm5nJ1rOU6WcgV
MxHWNmIJjeVaqstVVUz+spTrbK/kX0q58qJp0yrSLw2WZAyXlJGFZySJvS7X7JTFu+z4zHhyOQ+t
Zob3UZur5MCXBot+TZi+ZhMoS/1omwFTEzdnB5M7Raxli5ito4oUBr/sJRN2dd499pfWsa5IuB5h
aeTLauwG0kfsRuJlX5I7VCL3qihWqe5k+6qxJQxyP+ui7Ogb3sMod7pEcdY+xI+F2agfDTbDCMQe
7asRBwP2SYcN0yfvr7GBTmykJRtqJXfWVO6xXm1t/ZJxBAOrQ9PW5zCvS+Uyz+1keh6HJN7YiMJu
XHxkeyvn3USHmZTZszYudlHjfspj9aoxK8x4I2b0bFZM/gothn2737mNsqpUsc+T4BTm+W6IYBDl
wIsyIvo48sC6em2/tTzzK5iFlr2r14112Ho2zv2sm66FNR39ElVDS8J+BU11mPW6xeMaa4T0dS+1
EOpsNj3iSGV+qqVWkrbubcYtnbLCfSUqhJfGRObVZ34xXbQTG16HKjya7SWLHcpxsxC0lZH99vn0
IdbodXPgGgSUA45CjpyDOVhik68nugJmllR8Aqn9iIr6MiO1s7Xra4gfUiPSEYsSqRqVUj8SUknK
paaktHxysoJhSiYVpxTpyUGCso3sa44klUptykCkmognmFoMvlnqV6ZUslTpl2Qo9dmRDkpqJo9Q
/lgmVPUilS5LGnq0c4/xUpcOTBUrZis9mak1XOnSpalj1ySEvyoN9X7Exulg53SlrzOVDk9Hej3J
st1l0v0JRXlVOCMCOgXdRXXhYhNVCfQBbOqIXnqnSDpJQyve5NJbShzi1mFQxSN3c901bjTpQw2k
I3WS3lSwV8OyVMRxkL5VGwMrYtRmkI7WTHpbbTidQrpdQ+l7NTHA8reS3Y9rgxNB+RhIl2wj/bJU
Cy81DLS++yXETltjq415TdgHtDnV4gnKiXMBeXqlSi+uJ125jAto95BO3b6L1oH07obSxTti5w35
dY7095qmv0sw/Abks2bAILq9Id3AvKH4gsVwNWTkv9IiWGD7BUnnZBsKyHETk5LfDjldQgr4f5qg
SMrMW9zHpBHDLcvxzJfGZN8YVkpQXgscy/gYKqakVkt5luyrwNccCyoVlVpfEyoAI1WWR1+aoBnw
Xbe4og1pj1b0ct3ilzbj4gRHItkWOKn9ZrhSx3ypePq4MvFa53iuFQ3zdTCN7arHjx27DKtq2wZf
aVN4IHOX/2gpL15PaX76zXmKcGQ45u0vDlP83KvDFD5KmAqYFr7T4H86GfQPKCskq7BY6tS9I2J8
V1IMhg6qK0zVQtqwaG3mdPb9MGXgjJAHL5hOuEBfrBE/TB3f1Xz8IP+juwr0/PvDlEE4wqbdHCHe
4qmg2bw+TGnsYW1cWfnFUKn2KuuMHrKf0UGd6TcBmra8k5GBUXv1zB+h7tUk1bIZCLJ4+9/sncdy
G8matm+lY/alKG8WMxEDTwN6SaQ2FSAJlfe+rv5/kqabFKGe0wdc4I84nMXEaYoFIJH55Wdeg+h8
dhskbrWGa8EW07TiOmxMfWX0TXXWRW7+mNfIeVgxLm1+bMFo5DBhHkN/FeaCIvUXVZnU50UY6neS
bNYLxUXkfuq6SoxmsJueRUxVH23Jv+L2Mc49BUEelT7OcoTq9bW2B+MubiEMdKrRrOvKt4A7pFkx
sRopWigGWu9aI9O81Sp1mxlNfGvIcbryDPACae5Wmxb74DlsVnzMSgcdu7ArTxBnyi87UN0x/FSu
GS+ftfBZYb1Kqd4+ZIzw9BMFa/ihXyB90ywR8mmkre45oX8G17IpwE5WaXlu+Tl9DE/p/Ws/dBhk
dE2FEHdNhOzObAf6B4YvOqyFBcxM2wJ11uYd+iCqFwcnpoQ26QRu2HAftmoBXxz2uMOM487sYm0z
SJaRITdlpgviiHE8NIzT6y4bUWo1AGClaiCf4M5LregpztLNW++ejD2Yyuk4btzKH7dm0N+WUrFI
veBYsgjTiWIisGdAVJXyzgMTrzTDMkLW5gTM5nAaZT3z69qJIHkkGbT4oPOCRZXUdKlIhjDmjYrv
uhXA63CUr1qElFAuIZVB26ydGEzz8bipzGvbz5OjWsKsEaq/eQZtTZ5RmCLCrNZGduNWMiPINnbu
JauTjmmjWZO8T86hxkmzsm4Z6EqQSOZdXBT1rHcDQBpSVh0NuZteoZoOmkEezR8ezmMo7lrh196N
wlMr1MN1JRXhneIi/t6NQs8mGrO7semlEzYvg2cr7c4Z/Li3mIt3X1NUCudN1jPICfr8wm9xHUnR
W4hnqa7TRaoqHQBL6OBTWvVGNWNihHeyBw5jpbbq1jFJWmJIyn2nXULtsbF8zkxlm2f5uChE+9zJ
K3PCkNmY/CcWP8Vigyrw97H4Zutvkh1lrfirN5FY08nfKFLpXz+h6t9EYqBmFLYgt4CPCSz6aySW
v9ADp89Mr5n2taH9FYmxNeXMoJ9CpLb4I+L3L5H37yKxoQgA4ztQmQCUKeK1GOkybv4lEmNKhlU1
b+O8xYy0moUaoheGDKwmlXDk8xj0YQlhSO1AUtMc9d2gwANTkT9onePaiMxprmnKwguHG1vKSBVC
XHFSJcB91EzmYZM/eGqPKjvhCo9OJDgaaaZJzbeKRuTVALhqaZYmNgD6QHnUW5CEVG2aW225RhWk
QRpV9REuUO5rt/opY8WzwqcbfFaIAoeZVdE86BvUwvtLC1jEZQHNlQKsA7kcI0FdEq8nsSPIXihk
TgYnd8hKk7ndR6huNNJKCXEoDWHD4JsRPCoAs0DcCLOomkbUyqxcMC75iP6BhgdJ5KbKuatiOd43
Kf8NDYGVBVBpkvPyYxCDAbEQMhocCuMRvaBJqdnFzNG6NZY852HmH/epuqpLWpV1qm7qWAN+7yFA
ntWtMWnd8CozKtHcP2klPF1LEzu5ICnQphWtq7IBAd1g+Fr6Jr0DWxIiptdOWdIGlO0joxgvyi4a
ZprpfKf4esjK7KxAVwxInn8MNP7CqN0br8WlvQOT04JuK3P9SG6cNV16+FuVZAKb0i2qmuw27OJj
EGJ3fVgDJnKkn71n48Jc4wcetz+M1NnmqVUcKbi8TsMUPQX6/dmkjQnKmu/5p0EATi4qquCHmmYX
9hB+o35MwMFk2SROjR7XF4eGY5ZCy6+q72Zb3dFSxlpdzeaRhyLx4GFmkcfFtwwV+UUiU8D0tunN
Krm/yfjq41httWnQwntOR0RHTAa+U09vLvIKRQLZ6gDej82Dnte3Lerp2JfpC1dTHnPiMpQ9X8AI
VSbfNvN0phILs9dcXGcrj5cHvtPIuC7JqD4A4FGQ28p17UhqHGfp2QjRaHbGQcjsnwNIHD2q7jUx
Y3TABs6VsEIH1qx+dmlu8m4xjeHs59M8jeIFrk3gIV2mtqWDW3zAGXGx+py0mT/OXAVLPUGtRKx/
6bWmM/Pt/lxr3ZVqpFgDpOdmZOO5ESwa9Yh62O3WDs+s9Po6Z6Q/NQfrIkrM75aTnKPDjb2cFg4z
N+wZ8tAkKIJtlda3Vuwz9e1r1NrDHF81yymnmQPSoQ6h30X5WlWbZYWedOU1R1HhndYJJmyKWtFI
Hi7UuF3pTQcZvHPY7X1/nsQqHXk5vvOr4MwwST1MubOOwsI6VZ3kLKjzZSxpdCqqAbnuKAIhaVK/
eb5i46amBEdNGJyqTYBIfH4XKz1dfFrXE1Nxv+qW8b0pq3M1ifSlH2XOrA8Vc2oAcZqVac0V71l0
h5p66THXAEc69lOsta460/0OcjKFZQIsDAUUQg9/5yUY4CDigxZQdOSO5bZINX2ujrHoW6krGSYc
XXEzAtcVxdO29r+rrnZZd1ArtKAZuHUrfRa1pbmKCvmngUqIHgSnge8z/Y8pguO0mMlJcDea2o0r
zIJKNwOeVmORAC//CjkDsgDYGJ6WXqoSGpTKaP80nWbJuGSYFKntosrfXpZ0JNxUvWn9ai23AGgt
8BVYBKCrZyWXcZHOeiuQjv0u/hoYdTqT6/7YHGwsf7CApyVpCI+ZeGqmXTSPEc6ejbK/RhIRuiIu
AShXxz+90b0pcrQuBkUQ1gMENHs/fCxzUt2MJFu2u3GGYpQ6TakTTjoPyezazhdWB7twLMbLgTbb
XGqBTUaOd90z229UdCHd/MRxknah5+Ux2CSAyYrvTQu8koAJmM00NoE6gKG4TaBdwaLZFFUfLHvV
Z9gFpMdskq+q0Z6OCN2ITHKut/qiRF0SYO5JkJerEEOy1cgmIpNCcxgX0CWWEQ+jkq8Nj5jdC1hr
6M8LpdzWYbCu+2Iz9t7cCjid1QCrQlPuMoQ9kc7E8ZlmFqTIlVUTTb16obdsApQiidw5qBl8qo0I
VaR+sG4A1KxH3dhGNYEy0MwMPzehpkmBUqN5x+yknPSVc146o7dU9e5bzL5F6pTprNWVmPKo0oSD
dgm6oUXDbURBdfA23J3lPAv8ZiL5VNKyppnntk0jjSRbXZZVeRtEyrWRItSQjc5XxarvwsiHlkpc
mFQ1WwOMn0IEQVtdte811+6XpVMueH/3qH7D47SzxwquJrqE0DNTX2MgGIXGzGU0zZ2Hrim/63L/
pHYwS6hbeM1MREF8No+uGeHMaBWPGqjyMHQQupJcGiEoIyi52eD/PPgLPExaxGEZxbohKF5OWTF1
bePMR5WTIViQ0tDCBaDxVgPsqblFnESLAZZGej1ko48gbvgDF9MHgxRWQ1d3CQ9sSR7Bd+C21wpS
3DQvCwsXKesIo16u4pS+c0xqRCt7RHpHUqpzGt0zb0h+RnKUMTOF422BRsHg4VTWggRP8vwndgwQ
x3XnrhPwb6lIaIukJvIbKDXmaAfKSCJelkjyEM0rx13rrb/0A0ZB05iu7hFiiU5xlsVx5puTMpA9
FDoY849zWXEK/5kH9R98iP73BI0MOvaOPFr81Z95NPIJOqB9Cz04S3+aAb3Jo1EtJL0WhM4nmsVr
Hq3ZyCcA2HAYDom5jXjg63hIwEY0lWfpQqhBpgXxD/JoaB3v8miBH9QdC8VryFwIU1uq6Hi8wQ/S
L4/zSA7lc9Qi0SUzEGAH92Q2D2XYzFudAlZO3GgFFTIFA+d8c+sWI0kiOy1A6x70yLWFCiMjAHXG
LF5mehHcN5J8VLXFKUJtHhxEVNzYeXg5tvUi0pQfndV7Szzkq5OkKI6KlnpyDM61WjpKfGcNgnei
lBU4J6zXp+2AgZZV2as0oBtHxW9p2IR1ZjbNpPECxDumMUF3BScSVgTGREQ/yBo4umS5dCP5TApc
rsAJWQsCriaC8bdxMPzoPHDRwAauqjKUJ2VRTZE4PknkAgkIrNGGLFPXcq6f+zTsJ7KCMg0AyjZt
TuzKfcyd7iSATaVy7V7qjMypZF3CEhY46DjcwRidg4xTNmgyCH89ezZW5bdAlR89kANELq0g74u/
9pb02Agxlwzntyiy10Ps+XOFz+DK0ToY800VZtWidfEYQhYwmfpqgdA0ljtuz71aohtMHX8OqPUH
6rI03S31tLeLZa1HkA4Q+JwAm1nYWNoWrnEeqUzIjG5cNZ0iI7nlfAtNPIs6Y41P4FKubRgMdniJ
pqkOyKE/tavxtEPJeY7V0G3g4/FKYyUk54i+FRWtqSiqb42xO8HrED+aKvmZ2eVaVTQPj1BkIHzd
n6W1OScrqqdKra4qF0hlVXg3alweyYBg8IPAGZULNp+rpv+Yeta15w7LJup6MuzkeMjUJxjnttfz
k5HWjQk9gf+2SjNavXprMyBQUa/1w/oircL41OmTG/M0U4RNlQWMnvM08zXXB2ZS/cQNeBVa5dJs
KUUgwXoL/uFaaYp5njVk3hFXXCtV10pbLkMjutMHheFEg4OjbZwAh3SmdZbpszRN4Bv7yLNV0UKv
x3hKzJ8PAnoDlMueRmO5zp24moSJi7TRoC1VLzuJDB29P9COEbepHnXHoV+HU78czkpEeAA2ntTo
lQApCKzhocHh+buf1trM9xyUy80sta7UXLbJ6OwykS7l3CmuqoHEcKn0AZwieYHatjlpVPdn5PVb
13DkqZ/F01TmFrLS/ltllvd1RKstz7JLy3OWkh9dYpp0hPa0MaXymuW9NQ01C6uXWC4XtlGfKVqs
8+GQLbdAGml9uMrqXp/jKdRh82KN07CtUD/Ci7WGyKSZw6Y30ezu+x/4t85lZ/jKF40obigdDYF0
mhZcThHGZQz8TBzEvTCe4QG1CpNhEdkpqsRAfPH+whu8/q4UJSgkZOzVpF+0Ce0gLaAtFRRc5RHu
G7217EDPkuLzhXyry3A59A1eTd20RfEN1jZFb2rNhqSa+YFzm4QhA83SR8bagSRWBEjuJ2QDY8RQ
opDPtNp5qECZyujiDb0FhUp3BAtlreMU3pUUh4kqlydq1/HdGlRfcNOr8qEp2/Owt2dVqN/IgYdY
81CejhGAKN3AijbiFMrokYNxcRYYAF4bjbstcOhCqImenuMh0mS1K8WzyP8LoMNacoFHBuw26Axh
gN6MHbRTX2/WnZWe9BIwL8A/U92z72KtmQCFXaGAMikHeelYzUVgtt9lNT9ymZyYcMbnURgT//pU
woIku9Iap54GY3muyx5VargSxJA8aM9cc7wpKG8Ltb501ea4LMj1CvCsvTPMxhHjJLME/KMcZRl0
1YrSlyisLRyjPqE7urDp8k4dVDGKXBaebXjBqM0PDT7WlDazdoTu8YUiSEGed0nlcOrYWICPI+Wg
OXbHMmAVbDf9aZR74TyRAkEcM5olJKcLLZYWUUzx5tg/NTxk0iSHBkUDsbSlBSJR6bRDSGyo84va
sr/2QeNPEwMkXp8YzrwP1fg20txh5uXtz7BqMBmQyW9TRtnZqe+AGEbP+YqZ5kwFFmx4AwhrJT/z
+35RhOPXSFHRnm+x+MbzskqNy1JyMyzenTvJLL/3BfCtxM+FzCk5YG5Pa8U/USHk+D3FCFBivRZD
dn04cgskT8APF6gHmlUVfWtjqUMdRUpBgY11N7V7ex7LwZFqRAziu2Sc9Zn/qENvnA0tlU+FkZwz
judKiZY26YI381Rl0QOhgAaGf3rdRmSL0boOLMIl8PoZYj3fs1C9oNt1BQIaH9IMs2+/esAlcVbL
Yvg4nFcmcmJUkdPSQh8R64Gv/SB9A8Z5EwdUV12qzfKY2bYNWaKNkEDTRxvIdQ4eoAmby5JCZW4g
1LPShc6mCfQBR04FO91n2a7fTlzU9yRj0CuofUAWAR+riKmLxazobXpSFUBaB0fDB+k6mdwai/ai
mDKjnTqbm6tqja75PJvWq+DUWHYzf5Ut/GPgV+HaX/6nUfzcKKZv+jeN4gb80/bjyM7gr14TXGQN
ERGnziMpVZ5bvq8JLh6cUDtkG2dyocX8ZmSnmV9IYJE7lEUCCiWHad5rgmt8sRAgI2GGQ4RLJ9O8
f5Dgkse+S3AZCiIEDZaZ98BgkIT5lx0E3FUu0iRrzkbcBYHrNT+YPvgigbGAEGPpUcaI7WOUNWTu
OiiRWDaUrpqWaXuRVNmRhfYYSitofjttMauk4MRvwvVgoUlP/nEty9FjK3MIpayFuymBv3c7dZ2N
whJANr1pUgnRMvk7xf8PtdJvsegCIuU7NPZEDHakcRHrkoQ9iA9PEdKghan5JMjDbyCgfuRD9rX1
AyStaqyfXNP8Vha4U6J6VjvSdzfFpAR1dXgK6zbyT+ss+FFldjIJHOui1IyHmGtmnvDBoBKg4Ids
/XGjZHdYQQ1ztO8RB6uHCNvEDq377uug5uXcq7uFrkNmUEOtm+od3T58Ch8LH2KjHZunVR3fdOkY
TW2kd43IvsoC5xFkzEVgYNWnFpA3ZS+s527H3C5vb+UofXDr7M4tEDzI0gfKGlL7qPTmDcZ8qwpX
TcaWq8CvJnro/YhVqKd5bOezziST6/LsoVOcdSQhOZsMMFVygKCzAZ3XBTVFOWXme1pX0XGhu6cp
7lsjLZfFAKVHLrtjz3FWnmpcoTD7M9DDLdIYNxq+LLBxbxNvhC0phot8SY5cGpOuI83Dz6wAFVeY
l3R3177T/wQPjMUdcK9MduVpU1JNwJX8rnvGlV6jym0H0Y3uqT8b1WzJdcSfG02z0LXmNiFVqDIu
CtD/i6bGMoNJQMg0Ib6DORUtUGZBF8uQoVta8bRQamMi65JwK1vIFg6IzNqWRe1z80RYaDQ53xpQ
jW6qGibUVVqEBU4mJorgS7fKTwI3KY7HJAKAD/BVJPtXVkxcTEFJF3pBCMdz04to89N9I7Tj7Uc0
Z8cZDA+n9sgmHiq+w0TNvXlXjtfY//CqqU3l1C5cubkebe046ADZWCpjg6pwuY1iwCSYpzyQBt7a
SLtPLDO/l5WsBPHnTsuuB3gkByvKBATxJH8lp1I4kyyoObKcLU3SF0VGOgQLIWcFin5A0djeJmFx
avdZC5k4zOelUx+Z3jDM1AYtPi/pv2aFAT0KhBK7MQE4W99XTEqmcqmQfY2glRKy0RM9xcmxR/nA
O4pVx9dmUdR9V+2obOelVPnBN5bBrc/V2oKBZAaGtjDdRE5vLKQhsple56OGYnVc+VPFTqwLukCB
iZ8cLhJa0Xt3AaVLFbOFJkIG8yyvSPvB99EVpGbmFvIt2ox+IQtDHaO/xOHoGCBYgP221Wp4atox
l72NAPcRNGbscYoA6weUQ3GHnVWDBkozBk1m9gVap5p6G3V099dxmguOeOwjyGdaD7KHHjbDl6FM
xgmadA5c9kg3CkwEVcu7kWsrru5Ut/VcaqERxHshJ6b7A/8efCtllXqCQVOPM+R/rsvn65Lb4/fX
5R1Y2B2XJX/zelkKnU0moDYwXO4i3aDb8npZorPJvJX7EOKPTKeIK/YvphDoFh0dDnIgkGDvu0Ga
gqgGrRswLnSF/tFUlcHpL5clDwBFQ3+H6bxqW84vU1WogGEaq2F/DhSFygFLdsstb2oVqeBQuLWP
SprdBJCCODVJcl0JV3dJVqiIRheBKqBTniPM3wtdO0OCWJ5zPvvpYIWA7ABM1Cqu8X7R3jtNh+P7
QHYdCW95ByfUKS0La+o0bnajV+26lNnnNab0beBn54lXYAjZ4VhPwZQuG0PV5l6Ln32lKF8T4XAf
UxUtQ0dbQsc50gYbl/oGJ3YdfyloQcF5HPTJlLvnB9CZbuWgSI+advC1wB157atDusBsEwSs0NRV
WILzQLHdBX62zorySGT1KgiEBJGxLrecGZrbzgoVe4zqPes2g60HDihkgtwkpw2zz8ihEYTAKLoG
zdTJDEiFfn4sNzqOAZ48V732OColrI7sb6zmOsuYp8p1hsw88wQICv4Po9UpqRHUzbrsu1dE30sj
jefIF8B89YLrWqeSpEYyJ1oKytL0vFU0tsVKMpOt5vnxpE/NYxNeKb1+RsqOEYaLGmrCwnc7fN6M
8Y4vOpw6Zn6dSe6ZDnTGxq5Xw6yJT6I9ukN1IVVpexrZiJ2W9SiTodhn2ujQMnfHMyPjK63zfgZ1
hgGedg/NCMJO9CC5OVM63z+O4v7c7Oic0+6vAW8D45A69QhutkGHuq9mneecIzlbT9VEFEf0bvqE
po6luRND8e9yb7zUdf2EoZwPeGeU4PLCjmF/9FPTLiL7HL/SULsXtcNwZJEEzJFsOAEOPjLFUkpv
hvsa/SHL2Ep0axAbQHBUGig8XaZSTmgwqIqPEVYrJxZKE+jXK6dYhKDa0eKU5soK2EXDDpaDEc3t
Ah4Q4FD1qjSMFi5GCYDVi0A/44I8+FjOBglw5ix0FiSEXNzRyCIHlXskDRVS2QYtj44DPpXZqVhB
XMVpCkI90I96G0EH4bZ3k/ou+is6VPEs7WEfhx3TFzPBz7KbjrqcQg11t8OgrgLJNo4iw7gpa5dB
dVpPIZ1PLcs50yuopJ1u0BvpGhmUqHkk2aV+btUD039QRdNcCfCMK/XrNsqyqVsbpxBUoKQASp3K
knFcguM6VobspNBj5ajIsCX2amcaa7eV4p5LnbcADtQvSAuXNTqB1J5JCcmbsQujlZldxPd+bCzs
LOeoc0zy3OpZ2ORH7lfHvdXlR5Fk2TMqS+XcpxNKPgRcjbmEd5zqTLca2z1rCylDh9ukfeYgKpFC
qtJA1tNY7i8HpQKADLj1uBhGm5aX6q7kosY2tMr05eC5zkyWiuooL9ITz6cLMniNdlyZ3oiNmiIt
9azAErHIL02JkdMYDccQnG9zKdEu1BD3VaJfdCQFujP1AWlLJMBe77mM5/K7wgq9n1UKotvnGF9a
YbgdwxEzWIBOzKX/f7k/X0Y+OxWv/gToiN9eZEFa32QfZLH+pX/0WtDtftDvJbTeXq4GReUvl/HT
e3rS7/q7R8QbZL6aR+S5NOsL96oJZBQbIfHDcCTOwPA9/1pSKGARG1UZwijwtvl5+zXufvMflcN+
t1L/7iKI2vtJqewvKW9R1L5LS/6VleA5b5aCsRIZCdBaHBTFDwX5u6UgPYGTzAxL4Te81puN8u99
wH9loX7/Ne5YBA0c2p6LoKMkS4qFPcLzfiA9e7cI9DpUh16CdagbQcDk9l4DuAaqZuucr10bQbG/
QGljpomy+8uZOcjtIP8Kgfx3zgR5MDJWhrDM4+fXM0F4sPhh0Pm89Q7vTAh/jz33gwOHEclhVuH5
TIiw8TZGEhhkDg1iBc9B6NAWQXx3ey+C9QXdBLqUJkYs4odj9usiqBaAWEEIOMjTIDq2e24E8wth
ESkm1LRfD/67NeA0MIxBY0JUtQe5CALcsN8i6MoX3XnqJZvPG4EC+t0iCGtCiCt46xzqIogkZ79F
AJ0i1Elk9EE/fnoLhB0a6M975PmlDi0iEMj2Pw2MNhRIQHRjnjfCr3eD6PSQWyJ4dqiLoOx/NxAS
VL5w/TVXINC+Ow0if+Z3rMFzXnKAO2HvkMBpwD1UVViI31yQ8hca9VyhOsHiIOPiBxnif54qMQQ0
LCKfzv0gfljWdzuB44CEHCoIznMacaiHQlg37BcduSJYCE6FKKfEz4dcQSejwoDWFC3eg9wPyv5X
hArbBydLBri794NifEEww4DXYz79g4PdD/sXVPYXpCBNOtLP20Fko++PhsxaMZyGTnrQSyFkxfY7
GvRbUD2hEwl/9+nnw9FAMAWbF90RFN6DPBpCO23PRQD6AKyBrf/SU/p1P4iq0oZpQCJ9oIsgNGb2
WwR42eA7FF0XgJ/3p4EeDKo36MG+hM8DXQOhpL/fGsCIFC6hCpKWv64BvTYwNZb2UrUdXtr0gV/6
jzMGdgCx36TX9JtjQF+BlAktYVFy8nOoEeGl7fGXU8Q/XwoyBk0BfvfaXfg1IrAUGB8iK2wealH5
Eq/3WATuBtFUpHR8Ofc7CirRXNCRVj7QkCAMpPYMCWh/ychTM/9/SRZ+iQw0XzkupslKHOgifGDM
/OPjQEH1onv6UlB9qCVILhXD1MklDnQRXpo/+xwH44sGS572wnNSuGs0JQY26MMdamn90vjYZxGc
L+SCVFB427zeAe+TBY1SyjI1vG0OdSfsP5lzvlAtMmwhND79EGXeL4KK+4+hQCA71P7Cy8hwn51g
fqHHQj5kvUwhyAbeL4L8hduRiCD0DQnCh5cyKft3FlDXYBYFzut5I3xsstBpEqRBkNOHugj7Z810
mgSd0pBf6ukPeQI+E4xw0dQ81CvS2D8m2F9MixyB++HXc0AuCZVYoYY60C2g7l08PrcRCAX2y0H4
NRhQQTsm6jTYfDynUQe6FMJOcs+EkU+K4jzNpZcq6kNHBQE0QgJ6aYeaNb90Qfe5HCgdZHzr8aJ/
/ro/hAQCJ1ZaIBb01zTiIK8I4/nM7rEUoq9CRkh4fJlPftgPJAtEDYV5/oEeCnX/sRQIFTAZf26H
Dx14MalGOcohPBzqIux/RZhcEVwSmvy7Kkr5Au0Eea+DxSyIvtie4ZGdgH+GzgDyOWXaUUrSZ+RA
2Ic6ixESansuggZBT0Zp4qWS/FhKEj8ZXjKkPdjj8JzP7hEYabYiBy2UO18KiA87QQEACYZJdw61
ihIcyb13giUGTWir7r4owTci0CxD1jzY22H/AgJtFQCcLMMLjmnXThDMU1TPDzp71D+j3UgtBTlW
eckWPiROYPu4KIF8Heqh0PZfBBuSMjhPnJGev+4PKZPAfIn/ox0nfg71aGhs5D3jA+1nAxY3jZY/
t/77LgtLIcPRYirz9FqH12V5KXP2uSmeusuWAXzhl9qa6Kighgo8/GV5DnUN9r8ojC8q4yjuQ87+
y55/vxHoNJFOgG471JRB2z95xJaUj49w10tZyUd9vwiCsSkzuHtBRhzeadD3vy1pwWuqCrztpcHw
66EA2GUSMkB2HWpI0PfvsujiixYtxd/MqgXO0bGZVgODf/o50Mjwwe7wnw/nLFrMCNAZ5u+mEeTR
wvNIg4osrqMDPBR735N0WaB8cBVov4N8IvqHJgq6Jgd7KPYPj6LLQhYtWgy77wiSR91BYfBgkwWh
XL5nxgSGx5Q1wErPueGukQy/JHawDi8X6UEeihfOxj55k9ABgh3HTfCb/SBcUnEAt19oGIcXGYz9
9wPYXr5tTf4djVK0Hh1qS/MFSHiAi7B/ZBBjewWAIw3Wp58PE2u4EUyrbULov35H/Asr9Sf3eOoH
8eMTNRl98CdC8DPb9P/8B6+c3I8PeMO5fWIev/uXN0O+fX72MzNX/O//2TwmQToLqroMHmr16SJ8
89vXi/HplV7+/uUjfnzxdy/2+rle/+Mq2Jab8sEfnn4xvLzRs00Cw/l/Y/7f4+ZXxrBo/7z+N/Ha
//1f79/sm7D4909HDnn7+qA3dGQyrr8+6r/78GTzmJWvD3rzcOrvvR8+QYt21xtnp+797Okm3rR8
JdXrs968d/b7/s/P4qb68JVyvRC9PuHhaV3ie5lV9a6XYCyx90vMtvEfZ1m5c/2JPXs/fx7/MctK
Ns/rs96sP72dvZ+/KPEc2PVwEt69H76Mt2n6+pw3b/wzjuuqSe6z+LH++HgB6N77rR8l+bYMNvHr
o/5694JPsv/j02HHogvM5d6PPtmWO9ZcgPj2f3SQejsCgeDe7f3s0020I4YJ1sAnPLqqtrvW5DMO
6GlW/fG/qbeNt7tW5jOO6HrzSAB+XYc3G/Ezjuh6Uwa7luYzjqh4dp7tiu4CNrP317repo/ZQ7Ar
egm05ic8v3zYPr4+6K91FxiP/R+e8d5fn/Pm2Z9xTNco+e949GecUh5db8vtsOPxn3FSzzb5jo0u
+g57L/jZtt18zB0NVHg/4eHn5YYQ8PqgN1/nZxzRi3jzsN2RO4pu9d7LchE3ya7kTqC59n74VUDq
WAWPO1ZGIAH2fv715qGkJEjrHdtdzNI+4QXSPyZbhD53vcBnHNXrjXiBMt2UjzsDmZAB+pRPMQu2
3q4P8RmnVnyIBSfgIagedr3GZxxf8RrH2aZodt1WgvL9Kat02gTVH+f3QZXv+hyfcZjF51hv6u2u
53/Geeb59eaPyaa83+zKGcT44DNWiteYoqa9I1gL8tRnvULZjK8P+yumCqTA/i/gb3bWhPqnHGp6
GDuX5lMO899bDz9pqe3RBbnO4s2u7EG0vfdf9b+zGNr7ndcbRCjjTVO9vtM3e+ZTjq5os+y4h8Vc
cu+l+VsX032X5oYcP6h3JG0Co7v/W/87Xf2933pDgyjZ1ZcTTf693/s3ntDsOquie7730/9GQnnf
dblr7ncEX+P/PqW72rJ/DjY/NmtfhQ13/dn7XrT4Fw/xdlP+z/8DAAD//w==</cx:binary>
              </cx:geoCache>
            </cx:geography>
          </cx:layoutPr>
          <cx:valueColors>
            <cx:minColor>
              <a:schemeClr val="accent5">
                <a:lumMod val="20000"/>
                <a:lumOff val="80000"/>
              </a:schemeClr>
            </cx:minColor>
            <cx:maxColor>
              <a:schemeClr val="accent5">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bg1">
                <a:lumMod val="85000"/>
              </a:schemeClr>
            </a:solidFill>
          </cx:spPr>
        </cx:plotSurface>
        <cx:series layoutId="regionMap" uniqueId="{B1207489-DF07-4BDC-BFD8-867AE900B916}">
          <cx:tx>
            <cx:txData>
              <cx:f>_xlchart.v5.6</cx:f>
              <cx:v>Sum of Amount</cx:v>
            </cx:txData>
          </cx:tx>
          <cx:spPr>
            <a:ln>
              <a:solidFill>
                <a:schemeClr val="tx1"/>
              </a:solidFill>
            </a:ln>
          </cx:spPr>
          <cx:dataId val="0"/>
          <cx:layoutPr>
            <cx:geography cultureLanguage="en-US" cultureRegion="IN" attribution="Powered by Bing">
              <cx:geoCache provider="{E9337A44-BEBE-4D9F-B70C-5C5E7DAFC167}">
                <cx:binary>7H1Zc9tIsvVfcfj5g7oWoJaJ6YloACS1L5bXfkHQEo19rcL6629Ckn1FiPJAEc2Hy/jo6ZiwwQQT
OFVZmSezsv591/3rLtmsq3ddmmTqX3fdn+8DrYt//fGHugs26VodpeFdlav8hz66y9M/8h8/wrvN
H/fVug0z/w+CsPnHXbCu9KZ7/59/w938TX6e3611mGc39abqP2xUnWj1m2s7L71b36dh5oZKV+Gd
xn++d9ZJ+COvsnD9fvsa+fP97Tp754YbP3/n5HWm+/fvNpkOdf+xLzZ/vt+6E3n/7o/pD75Q7l0C
+uv6HoQpOeLY4pYk4v27JM/8p383MOZHmFGBBbXkw+fnr16uUxB8k04PGq3v76uNUvB0D/+/6xZb
jwLv5K857+JufCcjED5g8uf7T1moN/fvbvVab9T7d6HKH15a1Tv5+MCfbh/e0B/bUP7n35N/gHc2
+ZdnaE9f8H+7tA3ofwH7rwTe7/16D1DzI4FMQQSjj4DyCeKEHBFOTM5gED0OsEeo36DRbqCnN5gB
81Tk4EAuwmyzB4zFEZPUYtgyHzF+MavlEYePZXFzCvJcjV7DeEt+FsRbEgeG8HVSw+qyB4TlkaSM
W4TiV2YxOpKmkBYMg22E52u0G+GJ/AyEJxIHhvBf6fo+r/aAsDiiYIQRETBFt5ZkgmDyEiIpkmj8
4G2A5yu0G+CJ/AyAJxIHBvBFfp/f/fP4mvjIlAgmKGaPM5i9hNkyCVhwTLcBnq3Qbny3xWfAuy1w
YOiCw71uNtVebLQ4wpIRTDh/mKcIHKrpRGYCSUJNwP65q/UmpXaj/PIWM5B+KXRgaN/WWm/2Yazl
EaaEANZPy/HU4SL4iBELm6acQD1fo904T+RngDyRODCEL9fFPoImcUQkBEWA7+NUBpO8PZUhaBLS
RJaYRE1z9dmN7pb0DGy3vn9gyNrj3P3n12EqjywMJhi9FivB1LUsk2HAfttKz1ZoN7bb4jPA3RY4
MHQvNtUd8DXOP85s8SOKmGSCid2hMHjTpsCSY24+TO0JyPP12o3yRH4GzBOJA8PZyYGlGy200vux
0wgD0JTyV9AmsFCbwuIYVugtl+uNeu1Ge+fTzcB8p9yBIX8bbqoH5IGn/Ue5azDgDFFgNB8nMHqx
NqMjuIjAAli7Zvh8vXZjPpGfgfZE4sBwdvKkVvuY2/KIjMESsJqvhFPkCCFBmTQnlNd8jXYjPJGf
gfBE4sAQPoOc2D44TXZEIVYmpvmUapITJxvLIwbXwBGDnMVz4z1bod34bovPgHdb4MDQdTfJu8sc
Up3/vDMGnBe3TIB4XKPHz4vckwlz3KSQe5qEUW9SajfKL28xA+mXQgeG9ocQ2C8V3u8BbUqPpEAW
pezRXo9E9VbQDLllCtwYTGeY6c/n85uU2o32y1vMQPul0IGhvUjeuXkFCYt/fm5TccSJZJCRepza
cmq9x7SFlBic78fxMAm03qTabsxf3mIG5i+FDgzzJZRbZPsAnB1xipll4SfOcwo4LNdcWPAHT/yx
+RrtxnkiPwPkicSBITwW4dgbKHjZD8rCAuaa/Kz/maIM9JiJCGJ4msR4m1a7kd5xjxlo75A6MMQv
1veQs9qDEWdHkLGiFuFPMdZ0yQYjjhgQKCaeLNnzNdqN9ER+BsoTiQNDeJVssmwPAANZQpCFJXmR
bgZmTArMAfxtZ2y2JruB3Rafgeu2wIHBelyn3/PkXv/zyJrgXgmwwuZLZE0o4cQUAQn26Jpt4/sW
lXZD/OIOM1B+IXNgQJ+kxaYK18k/D/RYqwt1upZJX8lFYgsIUQv8MqgeGj8TR/stmu3G+8UdZuD9
QubQ8M76PXlfiIDF5k+FnFPvC481JpIxISb5jJOZ+ryC8HPpOeg+//6BIXuxrsJ9rMT8SHITau7R
U8D8omSEHFkUC8blBNrZCu3Gdlt8BrjbAgeG7tmm2ge4FjBbDzUFT9zX1I+G2HhMVELR0JTKnqnP
bmy3nmYGtFvfPzBkz9fxPkhNAA5WXo6g/Pbh86KojxxJbGEm+KTSa64+u5Hdkp6B7Nb3DwzZjzWk
GNO9bJwAoyyINKFO7xHd6byF+BcyzRgLMinKfYtOuxF+cYcZKL+QOTCkz9dKbfZgnyFYMmFzjJDk
EeZdNQMMLpuw/G5HS/M12o3yRH4GxhOJA0P4kaursnV1H+6FpYbgF4oCYP/ik72eVodAEgomPJLT
HNTbFdsN+Cv3mQH8K5IHNgDOc/Xur8zfJJt9lBSYR8gihIqfJQVTJxviJ2JS2GgDK/r4mcTKb1Ru
9wjYdZMZ8O8SOzDsx8iiyPdSLMShqtMEGls8WfjpQg4OuGQmFwQ8uYfPtpl/i2a7UX9xhxmQv5A5
MLzBoo1Vn1U97IEWg9QFN7GJfu6nmk512NcMm+kEQi+2YLxJq91o73iyGXjvkDowxC82Geye28/K
DntuRlaM8ycedDrFCYViIs4oHcuMnpeXvEmp3Xi/vMUMuF8KHRjan+Et13vJS0JdGFTwUvRaXTeY
c9gQixFDE7LsDSrtRnp6gxk4T0UODOWLfC+OOnhi0I/g1z6NF7WBI8RgvyUs2JPpPFOf3fhuPc0M
cLe+f3jIwvbITb+X1ZlxxjlFT3thp2HYuEHSYiaj07Yj8L5n6/Qqwtt3mIfytsyBIX25adZ76S4D
k5QRDpb6qYBkB84IQ4X+i42w8zXajfJEfgbGE4kDQ/iqWkNUvYeZTCH9DFWcgr3WWwYaDFnQm4JN
g+n5Gu1GeCI/A+GJxIEhfJ2s7/aymV0cwSo7YvxEgu+aw3wsPyCPofNkPZ6v126cJ/IzcJ5IHBjO
t+u7CpqBZXsp7xRHFodeUSb0oXj4vNiRMbYpGf9ANnMHQfY23XbjveMeMzDfIXVouAfrvWySheQH
9P2Cpn70tb4kBJJcwJqLsZTseeB8O1ujV5Delp+D8rbEoSEMhdtLWKfvQnWX/3zV/0Q7Rw61gAhx
qAr6ZaG3dt4AF2ZCU0tL0IntHnMOvzSa4zy8AvTO28zBe6fgAcJ+mq/Lel91RVBVZBIA+OGzY/Um
EjZZSrl7OzQg8AblXsd/epOZ6E/FDhD78zpU766+h6rYR8mgBVQZYRBjgQUYPy9oUXTEoCoJ+pns
mPtvVO119HfdaOYI2CV6YKPgI5QUQufeOQb2bY18xypwqCkDA/DUVe6FPwflSdDrBsM2+p8LzmN7
1zeotBv16Q1moD0VOTCUoflwFqpkXe8js81hLzyC3RrstTo0DN0Qxtw2nzDib9NqN9Y77jED7h1S
h4Y4UNHp+p+f1rC51qSSQQuy1+jThwbezISk9/a0vp2t0StIb8vPQXlb4tAQBvfoAnqK72PlfqhZ
4Bxa9r4Si0OTOSIg6WlObPfotc9W6hWcX9xiDtQvhA4PbShYsNfV9/We0prgpY8l/q9voWZSUBOW
68chMZncD5ULb1DvVex3POU8/HcIHuQYcJL9jABogQHVZ1BM/hSpv6hawUcQxWNImEw20T/VjsxV
63fIbz/bbNy3xQ4N9VDFYZ/X//xaPjbBoUC9kJ8HMEAYNiVnGPh1Fmy0nkz3N+j0Ct7TO8wBeypz
aEjnyXpvBQ2QRBmT3rsDcShIMyU0pXvROWG2Rq+gvC0/B+NtiQND+OMmWO/DK4dgG/bYMqgwfmX5
Ho9SgcUbmsc+cnETt22+XrtxnsjPwHkicWg417Aa7iPlDY3pKBoxfGVX0EP12bhMWxOL/XG2Rq8g
vC0/B+FtiQND+Fue7CPwguNyOOywBl5suhTDWs1hcwD0T9heiucqshvWLekZoG59/9Agrb/vgzAZ
i4Mx9ECAcsGHz4ttmtDVG7ZoCsiDTpCdqc8ryD6XnoPs8+//H0D29ypuPfB4wNlfP9/tjqTmW4+o
g31a0IadQai8250CI8wwEGSA+65YGc62+HWy3mNOe5dOu1F9Lrv1jI+P+PuXsp+j514/lu7XOX/u
Wq8XDycEPjuZ7vdXHx4fzjaciD4VAex6YU+XTu7/fG8BbfUM1PEeW9UDz9/iIwL/K7WBUoc/38Nx
g7Bdb9ythaADqAW94+CG7ebxEjGh0RikLIH2FjAKRg4sgzalwZ/vTXCk8Vg5jEboobkoBNEqr8dL
0CwFGlAK2OgD5QxAhUv86/zG6zzp/Tz79UKe/v4uq9PrPMy0+vM9ht8oHr/2oCqyJLhysLebgU9P
IcUK60Vxt/4w9sOFb/8/PdC8KOu6u8xaKhdN6wWFndOIx07M2+aGGVZ/GnVNFi8QivU3nZvNp9hU
XWkrmZVfnr29XdpALmeqDWxchJa50LoeTvQb16jn2phZX8QyqJtLUmb40o+HzLNrnrPA6RqdS7tp
zfobbwojtKtU6NIpoyr2bW9Q3HSgBCy7l1qjK7hHULskSfCnwTIEXvXM8ja4N3C3/L3GBMjoFxpD
HTDsu5UWh4ZEaKJxyAPAtteXtLN832XdkHxqIEaiS8373LKbvsORG3JP2ANnfWj3MaKrtKl67FZN
ru+DTinshEZhuQoO52xsnQaosXllxf7Cz6PgOq7laapkoFxYGeRnFZRncdJa3SJUBrsIq6BJV79/
qpcwQDEcgp480LYWzsp8eOhng4L3ht8aRaIuM+3Jz7kvMLHNmMDQKLK6u267St4WHk6+/v5nx7H2
fCzClkXoYs8ptMSGFiKEjmo9+1kLdb5ZKD+7zMSAL3Ec1JeZqpxQeMHn3/8STJ8XvyShxx+H7dCw
oIrJOCsysx/KKsgvRYHMddnmVbLytOiJHRfBApV1MjgU9SJ3Imq16X8bNOOg2H5QGCjQBMeEc5Kg
j9X05yG+DgM/S8NLXsbWOo1qax0now7WkKoFq/Lc7hFAv2qTsiV2Ged8oxOpTlrZm+cdoxVyaBvl
sRPxLP1Eq4JQNxB9vymMpnCRMaTcsWRuVscWZUNt//7tjd0up/rz0WwAhwvHaoKfuQ0UYrWVWZZn
XODaS9dhpZVvYyPWmWnTvs/80zYI4+++kMV5N5TBkuVmFzoEN/yH5sOQO33gc8fMo2YTVpTfN1YR
8NPfK2laL0CmJoVBNPLMkGGwOLhFz4cTq0SIqkDTi8gsC08KV8tgWHW6o3Kpm7p2qq5EN03aW7Ud
BAF3KpytFKmKVWIWxImTMv1QJFba2Txp/S9tlOYnvdLaLqyy+MRULFyvzDynzqMotENNo9b2IpVd
toWhrkpjoAvfxzKyjcHLUoc0QXpsMZ18IJF/7fcZ7eyk5uWl9sqPmqQGdVlD4EWGPQHbYNbDYKNW
ROdJYIlvHqrN04AJfD74XSOdFgVmCk3b+/DEEFWf2m0vBhe3luEOUXdXqFLf1sjggd2mmi89VdYn
pkfIxzLAbbzyuIFDewhi7zswuVVjh1lp/F2nPHWLQpGTOM+KE1zK5D5sCgbznqbxbSi9jttNafqn
lVfVTg/vYYVNIq/KNu0WZluVS4w73CwSOK7Cd5rWF6XTkMBbpIpWbl3Iq8AzfORinOtjWGpI62Qo
YrbQPPnapSg4I5Usbi2qrVUtI4MsFUuHtWB5tVCoi4ZlEwt/aXQdWhOVtD+UXxSWMxCNajvzSeMv
Ox3lMDnadtH7TS2WVe4FbqJpepzBV23YQlvl8KLThtuRiiLD4V7LbZ5b3WCbOvEcqo0sXVUsXvhm
3aOblmITzjuuUGJHMJL0kupWqlVHeXfO4mFIvJu6LXWa2n2Y9Fl1H3gBIcM31RodTwNbVmDK8zvS
p5GmFRyJU9cFutSxTuPuVIblsGpkrb2TtArDwo5Ikt8ibtCTqKe0dmrAwLP7EskO4EqFcDPPg/VQ
J3FbLljc+sipEo29q6BEjOfHcc/bwO27ROpzpjSFEdV6OVatU8NauGRGEHlXDUwd5julKAQMOBqr
dJklYSXtpITFy1t0TcgcwwPP1bJ7D2UmnH7ipakTyLr1lm3Ck3ShPPAKllbmp4MjBgssZkZis3bS
oDISu1G9r65VaKTpIvdD8cOoGx4iF+VEr0JT1OLSMjzfO80o19yKnKxT5dAfK+CQq2BR+AFPF55q
hnIpK5WFyz5haX+MlEoLxyJ9Ejq8s/pkVYVlaDgAK/liFOmAXejeHacu/IeMqyRChoJXnmVfojSV
6QmtpE4WcaDZh6HWlC4jIyf4LGgDxTObByTQK69qiuwWFmN6GvkDiZd1ARoscp34w0LgbpCOiPqi
vUhFD0PbgKlSuR7G9WlFLStxfY/6tcuzBuAMuQL/JBsiOmySGBLirgAFUpf2aVCeYBSax37IY+aQ
OC6pG+ah5w61F1u20VaFvI68NjIdGpbRYKdFNBhnyEvMJS483wJ1JS8WuA+G/CQIcesvYmkGrT1+
z8YylBkMH5+WTteGxmDrLjT+rqDvWW/YIcwjcomHLBxCWzSmQT/2SUvqS1bIPnczWeoLq85gSfIV
j0FAphTelhcGOPs24CQLTss+Tbqlaq0hPMPa1x/NiFhrq/NSzxYYBu+yzjpOF4oNIShf4yh1E1rG
yhGttwhxWH5L2hY8i8iPmltlsfZ7UQX0uOGt7y1EbCFiZ8KD+1hJHnXLrGrw5dAV1LxR2sIfsTbg
Gy0zlHA07nm3aEgahcdVR0h7knFfkavQ4PJzhspxcEZRqVY8UYG67npTCweVLWATtBkoliswumew
gsnPVCAY3SlYycqFY5a6/EQr6ZHrqKrj+AMRmTRPOjNq6wvd6dH5DPru2ooN1i3yNoWfzvNhaOyO
pHpYoZiPDz+q3oJ9Ar2KFF+aVgZPUZcWvKogzuPBkXEDU6dI/Di8ySoOU76qwSvw4RrYVKKz4KrE
Zl9lNi0CBHC3VVdfpEZQKDtEddktO9inRhd9U5LRaMBkcuCJwIB0Eo9+ss7Szx50Oj8VTRgKWwRW
DOOi99m6zSio0VVR/4HqDqkzH9zc6Cwvsji6FbBarFSG8GUp/fIb9E1mpR2YQUhOc+HL+swLcr9x
+4qXLTi4PV0VBF6rg3jZ38VJbF13tUL5cYn6Jv7SstRXx6lnpD/6QY42JCyTwIU4QNBFSPpALQuW
yi8G8tJl2hZ+aXMTzFxftcGHMNfqTKZxZLkWqYgPZg9OZrCbgMjPVWQ0/iIhGUyTwfCoPDGzHJeb
FAxyfwo9YmFutKPFXkSWAW+0a4ZmAYtMW57hqibM8WSiG1hpaYPA9S6jvyvZyI9GD2766SB1he+1
ynplp3C8fHMStgRu1aU4GByz9Zl/UgAsrWPEki2HvGn0Rdfz5DZqVGkLro7NtGus46FlAE6MsBpW
RRLn+UXGOvPc0MjMF0GZpc2Z37dF4AhLpcFH8ETUPZIZmBEwnaqx40C1ypZtI0pYBfryNvFLHH7F
+UBFYw/ggfWfCk0NCTdTXrUIuBH7p4ZXtN8DHxmNk3DF4pNQInzTKcMbVlVdqnARDjUM0pDoiF53
cTJYlykrksQuiwaxCxMHZuf04N2oRRsUgForstC3q4GnYDuUSha4o13lNgkR1WoQJYz+2Ox87vZe
j5TjFYqVX1qrxx+joIKxBiud/AxjPVXXmcwwGFhSyGgp0oC1dld/I6JuBbbjuOGfLJKVrdtavjYv
TC8RzYfSU7KCxR1G9KIIKaAJgUPfnYdUx/k5r4qAXpMOJezE63IJz9V1hn8RV0bRuqnywGaAN1br
iyTxQP9Kxv5SBSIO3LZD6KQvTZj3PWM8tE0v4BcPXukTd3H96OQ/BuB3edFXoR/oyV//8zFP4X//
HmV+feeBpvjfv12Ed1Wu8h/6t99abfKx0lFNv7R1Z/j1J+1G+mLrLy+olFfIkg8bVSf6lYuvMym/
ui6PTAN0NKAWGunoP57faJtOeXZi2U+abVv2J6kynmA41pBQiTF0HBwDqF+kCmwEAJ4UCARoIsqh
wuwXqQIlZxjBmaYS+udw4F3GMsKfpApsL8AC6B7CxkJSDr3Af2q5hSkQSU9/f06qQCw3CZAsPgaV
cAQfxP7wZ2R2noceMuWDzBqruUqaENxfpypzdJp02DzNBogWnIiln/rIJzbvjHORQfQWWWljtxFz
g8xANtbRx87XZ7HobhvUnfcejuwiYNKGmQEmLhzAc9Sf27S/5Ck9sUJm08TL7VKoq6LrTllRM6dL
y5NwSFo7VQp8QF/aHpfdqqL0BxW+dlpVZjYK496BaUQWVWyU9iDMZR1FwjET8KilCr71zAtslZj9
Quo+dVFVfDRZXdtmbRAHOAqHFgNy+lbbpl82TpV5XxKJXU1Y71RKuVbYfmd1bEdembrQ4feujHjo
NCz8ymCVsoFbOaGdgCUr5Db4Yl+Zb64ELwbHa+kyEJVhU5UeE9ZYbpOLY9WlqdubTQUuTPe9z73v
qe6uUB6UtgX8VIhk6KRmvIrj7kRAkL3EXVsB02LktvCLex+Zltvh7GuRW5FNg4a6Xq03zCPDpYr7
dVhY3llthRAMWiS1A58tjEzgD0TxyjUhlHDCcdHJVSdXbRufYatsvgnZVNSugdpbQkjrDCYPF6bH
82XSU+QkEFksRBAg25dDbtckUxc9Ep0bAwu0FHlYuF5i9I6G0WxXKg4WRgjhTo9Cb5EhFZ6FKE9W
Qrb6lljN8LkdmsDNEbgIsUrQRc9SvhzaOP6WVw05DTlnXxuVph9UhcvrgJHwROCqOy+lR92mT/JT
WMKr2jZMMzr32qwYPdjuvK6GhNhDirzvnQgNASbXKE8ygm7iXOJFELTFJ9TDi195wNv9bUTS/2GK
pF6kkoAXpvt6EQvh9CkBZjAqarsZNIybCnxDRS50P8Bbbxdl65+rrPwGbrx0jLK+rIKsPfY83S05
ajq7prlccitobLMrLk1N9LJMEbAclV6UWJ5B6OPbcRKCZ0iHMV6WmTuYMXZzLEKXpz1a5jUNigUJ
bznNIDoNWXyRSyHO4tpvPksIoE4Y9GK0A/AxVobIBkcZ1Y+OeMYx+NduJ/rwkYj4p03+/0FjDrTW
68b8r6QIs80OMw5SP804JDhgWw+FgoNxgz0Zexb+MuNwLAMHwhwOqn1gwLfMOJyGCelri1qQoWYc
jO9PMy7gvDXoU8otCS2IoUzhbdz4CwYJSpoIsKAUaBXQE4+NHJ6bcb/ibRRRkVwZuPzmhxpc3Dr5
jnvrJMFpZkcMRk9VL7iV2qiBWUj9c9mXl61IISxowfymYZnatW84Fa/J0rfQEuX0tg0bshA8r53G
78+R9lxm5BArYv05FKRwEpycB1aZOI1RHSexWqes8+0am/ceCZVTGKnv+FZ31onmPq5x6YgY9S6i
dMH6xrJxnw0LVBuJW6VW54I3pR1ey9oxe8QcnWf9Msv7a9Jblkv85KzuLGqDP/WVAjfmgpt7nyN2
Cqtb4ZZdVth+o2I79altBUAlZlxeDxJ/abzBtyMRxsCdGa2dcA1/ZVHoDH5B7DT1PZt7J9TXy57n
nl2Co2mTtvs8BP6F5tlZ4RVnATyTnfdhZaeEfGjD2G18P13EGbnwMPno9YleNtA41Yb9vkCMqwa4
t9gQtmnS45T2oeOJ4ouwKsNhqPdr37GaMvRvNYmKvyG6+9wPZnumxzWRarVKcAsUTln93fngwmfx
Ki1aBuuYldtm24Nlph6xA09cBD75TEsFJj1srwxo8bGI43pwiTX4i0FC9ORX0lgZef2BGsG9BQvv
CiJJB0N8eJazte7WEEQvzYKtVU/zVV2hFRww6S+qok3zzxIH2W2CkiLehP5w33bBh4EiveB1kXM7
rgIh1hWOLj0Y3ydIZ+i40yS/IpUnr8zUU6e99BxT1ous5exYV31kowCFTmDK/pJGAziuYZ62K+Dg
vrRZ6/IwDS5ol2/ALyfHKPdlaVdMBIO9F9f2/5qdG3tC/N7OgQt+v54aukexn4ZuPFJoPLBZgC8o
4DRAcIN/GTrYmswhnwfTEwwgJnDpKQlIoXUvlNPBgXLg0JqQP4RLPw0dFNbDcQmQ7oeOf7CVHQ4X
fIO/CjHqS38VXF/woznwZNAIeuKvis4vZS2C+ioKdXEqEmleVFl3JrKkdKy6+szA6SojHR9nOU+G
TZCr0rip+x6IySF0gBNLbmRQZLaO+xvtm6e5SvNlmcCUx0MPyawYG6swaUzbLIKlHzfBCTCmyPEL
z7QhpvUDRzZltkx5kdS3vV98kwFMSINxILmAtoqcgijztOmM4dQqsg486n5cqOskdvtx6dawhvsS
FvNwXNZ7nMMCj2N5koyLfjEu/2R0BMSjS3BbPPgIYnQXitFxaCoDuXx0JvLRrUhGB4MwCTEu+Bzx
g/PhY8ca3REL/BIxOijN6Ko0ydDZxui+qNGRqVp1iUfXRoOPU4Gv04PPE4BtJuADIdM/a0enSI/u
UQjxO5hP4bS1gqk8OlG+Z4AVqLT/w2tz9nc/RI23LK0ysIHIB441UPhYVvWHIKa3IkJZfVKwwNA3
Ic7KY6DinawM2HFp9Sq7ZRrJyg5qjzc25Z65orhtItvyrB+xV7cnY6Hwqs7i2B3S7LqP1CUzi9Ms
CS5LRM6ENpa5ak+NlLn5APHxGChEg2OFxX2bkQ+hlt/+v/F4jHghYfy6k/R4qu7UdkCcPO55eiog
ANvBYWMzHPINeXHg5SFqfWY74Dw6JKApqAXbn8cjRn/aDgntoKHoACr4pAXbZp/HuuJodGnA6ADP
8/ZYd3S3iufJTAsOvMRwfBbYobH2V0ycpA4iSyA/PfMqHgrenwwsT+n3JqDauwJijabphQGJnGPh
8cQx6uC2N33TjmG4uRmpIdT1WGhDnjNe1FKbrrJSdIzaOHJFRyunbvI17gffgZhsPZSqc1MKifBK
sbMk9YHX9KLrqAQ2yff0okiVaTcCGC3RD+g4lEy54B95kPSJIbg20mYRVDpxA6bP6qyQNubhlwaz
m5BmK5aklZN3btYMq7AEV69BKbLjKL8Z/PZzzvITZSrLDpMcyHpt+I4Ejs0Oq2Eto+qGsRLBAUGE
2TIh1wTp5KI2h3wJNHbmEi/JIYNU/qCev64jcMdSgy90v2k7YrmQRVs0BvXdJM0uOmJ+KTK/sJVo
i2NTQd6wom3hxAUObJqD7zMIWTm46c7oEEYLUg2bWnjLOm/OsGxXmIMpKvKVompRQaKLRLiBXFER
O1VDN1pCWrP1Blsimwz0POuH48GC9Ffte2AtuHaaNPwo6iQDG1gcp1CB0OXRx0QartbZTVGhs8Co
HeDNgH210psGIK1TEzLmXVhlK21gsRSsOMVW+j1TQeJA3cM5auQ55EIyoBS8jJ1CHFDd4A4V3t9R
lfhkoWjuZzfGoPtileKst30Uo69g/WRusya+IxZddkHVAkFZ3wEjsYRDO32nFXA5rNtNaWLlRBCP
22nTHes+uDQzTyyMtuuXpQ5+tAarwND23xiSH/XQ3eAG/w0Z81OUD9/CJpIOsxRdcN+8D0l32iK/
/zsJyhgSugXkqGnmiAbyoxYqjyOrugGi+JhXwjiHzO3HPoTHgiWrtH1fXHmdgrUwGH6Y4FjXgY6B
kWByoVmPjgf+A0e5CWkP/bnRwHmnhUncBHIwsS/pyjJCSKlCcrrAFnjtTeUYeXDnx+XgJHU/LEUb
FU7U+ytiqG9hmx/nMG2cTGSdDTkou+BqWGgffHUM/G7Xmp4DxMl17xlfK42ADaLYjUj0yfICHzJY
hNvK622YzRAcQITBY+4wnZ9mlmrtAPJrdSksO2DxDxXoqyI1143yzlkyRHbcR5dQ23BWAHVis1ye
ZZAMtAmljRMBL1IFYWBHumlXZQdErw4otomE3Qqx+DbwfJEm1glS/jca0+J2MFhgG4GANDixPnEj
uO2IYSPZfi0DMzwpAnkydOWZ54vizMvVV9Z5KygfuTUYOwmouDKkugkQ2xTmcJmm1fH/sHdmS5ba
7NK+lX0DfIFACDj8GdZc89h1QvRQLRAggQAhuPo/6Xb76/awd/jcB3bYYVdX1Vos9L6ZTya1wrW5
MkgNHZFTBi/93hi1r2E/8Knaa1HGeW1jmeDTw94GMxxLT0z3RWRK2N/NrrXzmY1Dnf97tH0/2jAl
/v3R9v9aPJRX/8XRhq/6/Wj7tuRTL0CxNZ7/RVDO8/vRhrC3h04fnCd/mIrxVF5Q66DXvyu1P6Nx
KNwkKAoB1vNd/A3/yVSM8ftPJxtOTxdMEghMnLNbqOXn9V91wVoHSzHcuI3/WKvhwRuCc0uHu9p2
IpkNLU/cBV9B6EEsi8jaui52hWFzOtqpSNy+65NwmacMjuu9S9c1LbuQJDMdWTKs5G50e3BVMf4s
Gaoyb0RHjjHXHpTe5kGHUiSrVFFClL1yelclrcRdAPKfkzo2KLJwDEXeGHxm9Dj3165sH1FYGVyF
ZpUX4XljohjUOF5g9fSacE8HTLSRUXPKypInq5aPpYww7jptl7h6OPZdsCuikedDDVs2pO074J1n
gA/O9gk9KN95cNaaJEU/XK2bx7kG/BPARpH0wQS1V8251EdBLoT7X0z5UfvpGPODUgXPZjMBZFon
gVekbjLZ2Drz1qHLu0V8nFfIH3bUX6ZxPpGxm3FA4RfSpjgOOrpdnLBLFpk762UaycnS6C0Q7Khc
QZN4CdwsDoOL5vq2aq1NqImAMFpyUzPd4DCZchK5eEv8cEhGzodjqKmLG2B77/GZ3sVO+dl68m6Q
EdzMxsehRUqy83rlJUNoyM5nkHi6Qo15U2uRFfVMEu1GF68qj8tU0STQZSYieW/rAav4OpG898Ff
RQP2IxYDjGFwQ3Pej+aBj66fFiR+4Y4SCaTffe+K01CHjzRePxKHy3271MkIOUCYMs6UV9ZJByAi
6Wh3mF3j4Ubdn/A0nwHvX7+P/VakdUGke9vRUT5ERY9vrAfIJOpmpfpzpWZ19Ixziwv8Y6wqlWjB
5amsyavuzZUG0JE5EQWhOPvvdp7eTbgsu2G0XdIPUXEAY/GpxUc0UfhR0hpL1K6ap4fA48O5jdyT
EeJDt8bntSdYD1S5V7Nz6ZcFA4wbubuRFyRRdTEnsAKuR7Hi42MeS1586sswOkgfVItw2odi9Us4
5tNL74fHuh/5IQrUCUtKA3mItbtokEfGgydduuXJjJJhMFsf8GfOlx42C0xupXAAMp1+AxqMBplC
4u3Ns/6SuqxgGSnoy6CETs0K92IYpDwN3mRT64RhUi5VnzRDM6arHdQrdwt+kGWpbwUL4mT2+8zK
heyiqX2OPByDfCzhIQuSDJ6q8AZ1Mi8aMcHPrit82kfvOFSqTJRgZaa96eiukXvso/IYkqLZM/ws
Sc98HMHbpzSCDzqIcU1ULw90xJzhsEyodQRvNGL1bRyCTxodU/AONlloGWYxH7KREhAr+AeHBrcC
7o4azBOx4hzo6aT85Tqm+sGEZkrWod2XTlEnssXsJ2tybez0VKlAJs1S3rZ0uqsx40a1vRra9XUo
cJLX4G2TVolnMGknat3DMgyPY8TcpJ+km7hK+Rh17aUe+jx0tdq1SzQknrZXhfbvark0uZ1JHnrd
yZsmmSzDhLmoeKs4uQH4dw1O8RZOELRLM3wqigDaf72+NiVUN9pHUQ4o421oQ5i1C/yn0eseVUnP
1ulUbhpcNQBTl/rZn0RwqCiT/h6riZeXCkhVUKns3yP8+xGOZe3vj3CAUeP7X5zg+KLfT3Ac0xCh
wDNvzqrHfj7BPfwnHJwo3gyxbnrYW3/Q7UgZIscCMPO/Hu0PYQttu0A1wbwHgY8a/Jj+oyMcMPyf
ltPtgYMRfjqoaKBtfz3CTWcHEGqlfzNY6uLDbY7zQvuMCN+HCNrvlO9NOD6XlxD7UDZw+ln70WXE
tZUFG4QiLLSTUZfncVZuIl2JZdbVSbR2U2YHc201dkwaa5UqNX1aYvmhrHgOMuq+pmIvl/Hk+d59
3+GMF/0CR7XzBqhK3kW2YLy4Ez4NdazSJm5H4CHFE9zhlwDsG+63q02ZbW8C7t+QmeVxr05h0x/r
YPWPqymwG9delJrS7sHJ517UfYW4dj/NPDhJXuwBJ3yKqgUe7vpsIccltdd6iQ/OLGG0lZnfFalr
4UGEXfk8k+mttoamZV0evEnJpIPhmbQlgMUR99u06vzruu1PTU39ZNb6a29KklhH4Y7ZRDdVqzGZ
8P5GBKY72XYE01Hh1A9bVQNb0diWXV5cD0y5GY6clSU9Xb9GnqmvDQ0/rxVe3K5oyzsPxEhSDvq9
hIB1JVRzDGIHNwGvW/alHKKbobJtHoYz3rWppInmI09rTO6gyGSZ4JbM9jCGecI0gBtqQ37ncp/s
107wpOdVgyHK5wn4UGyPrc9zd2nEwfdtA9e18vai3MjvFRwzs+CMcJsDrlSQjNgFIj4dqh3F5rqj
s9/kuh29/aj8Npe+uECEO6+juKklOY4LX7Oqjb4Wq2CJCFuaO0PlZ8u0iJwU4bKHG9nkrigjvBBk
gerXx/tRwNwUVk/72APt03INlBuc3D2E/mg/dUGZo8FWHFy3KDJjGj8ZfN+5a1CclrQrftPeMpZU
zGW7iDsj9sU5ShbFu9wBfQecpq5OAY7MPffKx8UbbqfJlXnpREuixg4PeQYmUJUMxGcf01MX41bM
yZZYWLeXqPLk2zwE4kkCNUyGMpaHZUI8w7NcJdjsyU0Avz0puxWqCF73xNfOdIhm2BHlTDEEh1P1
pW7h8rsiLHLDW+fgjmI3BU1eFBKnLKCjpI2lTiCCtQmGEpjUYo4y3bVNyoxgdyuxd8JO92xu63yA
tlGljddcA1YeD+DZvo5y/TQSU+7GjkxJEzf6qgKblPqWZY3u2ZEtMxZZJzT7qJD03nOm5ypWo5O5
44TtsvQsIVAVus8zfqpwdWrQfaKBGFP2e6daHokzE4gRnKVQNU4Sek8+zwtJYjNBax4WbOKY8gGK
5pWUzsmhUKF8/8ngeE+hcj+2vTiFQt7O4ZA6Tng1BG9F6J0nxcwrxuL3mY0XSx0nkXCAsmie5ssE
MPUQx6OA1gSzjdfuxcN3K7vybAz92oPjTMnaXLmzSxITh89rBAy/EmsEw6z9MoRg84HuHpVY7hB3
ukBIAze+gQ+yjbAdVwSsoilBRSzKJgb8AKI17VEOMCLDwQ92y4K3kPTtzeTwh8YWb66aPnQUt4fI
7UwW1vpczeSjrRnD4uAD+x4U35GJwHz3kV2gOjdiwD6xkhYzlrmCtPUyoSwiCx16G9swSlQbyiPw
HPyfoyswCTQm7UZ1noR7APIlU0OLnXBVf1MBQkkEsN7EsXE2Wv0+FAxCi6kyUNfsA8TtNsiVtFfS
Gz8rGh7lFLyC9AqOVUsSoddP4NNBYSt7wC/d7EoPnEtL1qxh4XUpcJeJlYM5Zk7rGMyIUeTg9Oyw
zD0UlAosfzXfIW91abwBk3zVfBqj+BBK/5rwbu/Qfs9BX+M9TW1D8O/BxzKqqnSopq9DFd4izjHm
Ri3HcVPNpk0RpfUdiFkHZ8GUNv5yLsfmroXgRqrysYEAVzJ5CDdFboI011RjClxRJ7IYwqSFfFcg
EVA1aeQOFoksL8WW+15MUNFwjjnLfoi8IcJeVDcpZ/LerbT+V974jVUDjfD3sxGifx/Nu/44/MV8
hC/8fT6CwrGFN+HT+S7+hvnkd4XD/Q8KSyFixIRBzNjggh/iPSqst/JqF/EapIN+IRxQRb+NMhD0
Eb7ZXMF/NB9t5sGv4n0EFwDF9gxOI7rPw21++ilyJXmEg8RE6sZ1G36Air4vOURmaM7nKTQL3Clv
uNjJU3vfXTFk2+lWCoojUrafNPVUNjjDAUtEkMe+XlI+Mz8RtOxTHM4rVrvZy8oxcpKwZ2sGTba9
7Xn8UgYr9jCAaKl11zMY74sO6CFSMY5cp9z3S/dSRFylax9drXqBK6ZqcwCjeOKt6JOaBqc1qtqE
0/CKefSJB3DUxiq6i+ewzqSuIK3ojwjfQrwN+LNpgy6ZEblCyCA0aW3WKybDF1uARQdj+Bo36oVZ
c45rcpnD5tEJ2qsR+nsK7PhJ6gI3G4L4SDGfw5XeSyl2hDsfvMqmvOc7qDghMJDu0oXq1YvYtV+2
IikDuzcWGxYuio9jg91I2gZyZzjmFVvLBJZpk/naMuQr+iWPIjnlxpgFCaL2RsMYQJzFP6jSqxKs
5ddzgz2OrzPZg3LbCdZDbTAC/B2RqeOtt37BPntj91hPyw7sbJv4XN5aynZL2R4roOhg/4ZbNoVP
ZV/wvKPLK6tgz1Zz0GWY4uu0kZXa+dUywJYJMfKud9rKcEfK5mRJ816uLVDm0XtipSZAr70ihfx7
I0zoXTdFeLARf+ivaXlkkHgQWzqzBZwjHoG0q0IDwKIHZjyuIh/90QA7jl5Lhmln6qWXNKraA6eR
Sd2qz3XIVCZGQA1eT3ZNBIjYxUA9LodqgYHZtuKT1v57GHjvmMj5gff0egOwrek5QnOmzcXS0Gc/
qJE1WSIcO0WVKtmf2oAdm4Ag1VDudMShDyDwki/WeqnH2bKPvuEXMpjGfDbOXdXNX+K1nnUauPCf
XYgta08H2NH9iTq9l/YQZGK2LfleAQEvCqMMXYYHb9NwlLYfEcV4BLmXgcXL3c3rxqWL6yh+Ub7x
03JTgzD69XkVc5vX4QQvHbgxjnLoRzBsACcGzX1sECn1Cj9BYPAoY3YpzECSdtOhGi7wuQhB4EXQ
DXf+plcBRXV3zqZhuWC6zwtkrQLylr/pXCMEr2hTvrb44LGDmZWU4wxmfYVsQSG0cHe9UQqfFLGp
aIDobgvIamXrulm3KW0Mklsj2dsICW5QdxWlXaKhzkVRWxwtU9e2AGtqoODFnvpChwYSErS9lrZd
HtZDnTnWqbNukwDnYBM++4Bn5ersodCI9c3bNEN9EeI4QEesVL/A3MNlYNri47KJjd7SXxWb/Cih
Q9qOHiQpHcyq5bPD6/d6wkfGkwrXNlTMIQZ7tcmaMRKCANObRwT1vsab9sktrjt/k0OV5DlFPjFx
Omgthvfy4ng2uCIQUp2q7a+tQfAF0TSRh/FaZHZTXqeiUCnXUGPL2VwZXUdQCaHUNnH1UGpczQHl
5KgbUQIBxTuOOAxCpct6p4qOgYaAITK0Zk07SMJ+rydM+PhglWtfJM6mHMOSL3ZmGUWm+pEeQI1i
LStPNdJjAJT6u5b65wZStFu4j8WmdBDPnIpN+/DX1VbJoLQWYICJfq1j+Dk5GyQT6TCJ8zQZePij
8VsPIl4hQXRUA+BVXtLLv3rJd70E+sHfzwTZe/M/16B8/0ozwRf+PhP4/wHnjNOd/MYD/TQT4Klw
sPHh9f/gF3/MBFsjgOvC7P/W6+J6PgiB3zQT1K8hk4SWTcgvPsD3fwYDBX+YCChYR4gzwJXAAVE8
fPLXiWAsJjE0q/RuJUZkt64uIa9T3yzfx0ZkGv6Gkf/GBfyXG8Bvgo6pzajBAISwNwKhv34jxEBr
bIz1fBsEMC1HpI5oHqzTqa0Qy1AerxGBCzEHj+omXqZLX3dPoacRkoI6nc4IU+a1JvXZ6CDOwOIg
Eb2MVeIE3cZe6td56Lq0jUr42pvUUQ7NQ4dvmHpdc6vcCi5gKBFf6b0+ixAeSn1s6Vijo3Pf2jSG
yJNK5HSyOGCQB2q5K5jZoT5hzCbQj9lQW+x69MWJwquYTnGCX/O1pI1Kceg/4KZz77T22nGC67Fy
DQ5ErA4oETgiVnQ9Fy0HNk2e4Gw2icuNybzNN53MeId00g4dBy9xpN89Hr7xdvmgt6O3nkKY8kt1
G+jizJC82YGCPbC40Puh1HiHtH5SjB+qiPK0KcszpLVPci7rnWndDqQ0aMlG2S5zpm1fx81vR8b1
jbTtBqyLGxqBRV8a5A47P+tZ/TaF5EkP/ErZdkoUWe7DftojQHHAaetAFEJkdKZ+BSkc6dDSCx6c
pWvSduyjNIzf4hGnnm+zqQeYP0y0TnBBZBGoFLx/Yo/z7mu0YP5wWXDlmAmusIQm1YOtIOFy7c3I
rS2AOeaSVLuaNLeIiYmd78/7taVXnBc8GQndxwavbTnXmKtYYLKuj9+QujhAvbtXcl0yfx2eKwZn
giMylPhj8zDM05EEtcm07352UaeR8Hl5bqoqQKB3vfEsrIWhFAbpJv2FNN4Xb27ATFhyUE18hPdI
AFDMe4h3dy3y3xbdFJfQX2XKGvl5Fd1rGQ5l2jL1CHRBZLQP68M8+XsoVqnnFzvs5ggv4RKD3UHn
Esmpsv8oheJ6t0bOuKQBszohrq0rkyyeRlwOATiZueG8I9G8LeLanpomgNa+kNQtcNZQ/8vsxscq
IDuzYvRAxURnnuvA3+SCmbhrElQbkWBJldXCO/o4OwmUt3EbrKL+IwCce1I773h4fJ30MNUVrkYI
RAYRlGGEtzJnaq7J0WkDSF2zuUQaPIsDtSioauzmg6k20G7+wEQ45JZ3V7xyi3ToLKCfLS04XDoB
tHccDvM8viIMj2MxFqkRLkKV6qpm+Mj6sr6FyXhuHOe4NlD2Sl6W+WoXaLCm+sJmRNzFLHzkw8g9
4rt7q8b3GmhOaifIJax7nXUOA/RYUo0cp3NYWPjRCvdtDZY6DRtk95bmraEPZh4gXE2nTvGkcYCG
SJ16Oww5ZUxHHMR+Pvv0YDx/p0kJkXDtzN4PxbhzCaRTbuibpARZWjVnhaM10OFuPxF5s6j5g1YC
EtpCn1FCEl11DuLij1sihEdUFwfltaT5v26jv3rU210UxwUFu4IFEpAYgku/LHDDMPi0WNhyOy9p
mNB9cbIP6uooxsT5KF+6vD5CpkiKM/CRKRN7//jTAfcXUadNP//1Jo5vH+ORtAF07K3h89dvr4sp
MA6b1lsTfuyKY+yOSWzfHNUm//z74PEuMBS8rS7H/UM1SDzizKqQ2rwl1QWNKUnTvMf8CHby//g+
v55+319OvJ44AwkKeGCK/vr79Jjqg4mU7i0LzpqBG8ecR1/+99+F/tV79vMv84dvMpWuO3ggym/N
bniGq5qbg/slyjbb+qrFNZbc6xzi+847PF1HWZNcm6tq9zzkRX4nTnNyQJ7pMmb4HzO1w1/58//+
83m/0sDfX4QNA0YXvw988Fss4idRoEHzBDgsl9zCobgu7tzcvSIv/ISyBsy/2ZKcPpC9Ta/73XwI
grQ9g0y7g3S7Qwog/faj/Jud2Sp1/n6Q3J7I+mddafuaHzMk+a4DwSXzKIpstmnwh660tYYFBB2s
4Gm+CUs/60oh0pLI1WATDX2X4o3/4bsBKMcNBDVG6PDd9Kh/pivFkLx+ui8ELoBUFNEBJaNATgDy
bP/9p0toWN1qmYKJXXNfrsieMRdBdQUZnWIN5AbVJmsxeSZxPFY2WTQiLYdQXAsUeqrEgs00cJur
aKpcKBeYg1jI08FdHJoXzkRFnGPq8JCFX6HTW6TPxIR+lql1umx1OXXapA6duAOxqQl2QIND9W4S
MJPD0oE2HW6JkcnKF2i/VYpZ/DBKqNDDli/pt5FCV/pbbGfYFZP7KBBH0ZI1uWqBfyzuvdwSKyg6
QXYFIZZOtWfZFxeCcMsydNBrtrxL17WwbI6AVNHewZGIqbZsTL2lZBobAmbckjPTlqExdn1pEaoh
LiSeBjEbZ0LeptuSN/iIdtncRie0NnzxtnRONZnXccvrEAR32soNshZRnmHL9MzMsJRtOZ/C9CPm
2RURw5E1kEGQB1oCHUCw93IXqE4mttTQjPiQQy2OXOCcExpd0rYgX6ztVDoFA/T2/lBtKSScWhex
5ZIgHj9PwdKmop8vw1Qjv7QlmVZEmuB07PoQGaeiLkC3ogyl0EV3pCUKEixV18JT930/p0XYnaF/
paUVEqhujykc8X6EqigKNYAPmmz03cSA68cM4KSm4yes0UjORAya9+on3mhFgvmjxrQaOjvHH9GC
sJJd3WhxcZd1Tzh/maDRpcgtVtAW/CpzGL+1oUagOx5T0o8ng0046V39wtWCK7EOzstCHkYIMcw2
Bh4cOdRS3HNpLlXgZ+hwmKDjrVVeoHEEKI5THHSNLKhr41s3UGEe9f67ashwIJ0a0kCq64DIcV/6
6FXx6yc82+Z5Ey5RtXaDygYYK3ENAaTBEBQ1Yiea9hkWX7ZAIJxc/4PbTSoLRbA3c/Ng6+AoeQ+U
qCgRSEVxQ7oMwuBC98pz12kUnsSAnct5fpHhFiT2Riib8zOhwyMdaoiket3LElLdEKSOQHgqGD/Z
sJDJICH/TGGNmNeWoIRqmPnj9FCItQa5QqZcLfzIB8oP/djfT2z9gO6dtz4A5WorKDOxqHpgShiJ
qTs9mcqFvlFT8C+sPDmOOqFg7KNcI40VB3qZp8gDhphdpeljN7h7x1e3s1sh8F/5DxTVallUutAt
rXMNQeKqCjsn9etqZ6vmpaKh3EuyfGz5atFwww+T0XRjR+NUOjXM7LZROyDKH4REBhmLBVYci10u
hgSYxcTdQ9zSl41eaucQF6nX0BzPCmUJc+ZdMyw3hNB33YBpVbq/7sLwSfVFedItbF5G7HtdxfeC
wrtk2CUT0tgFAN/ydTZQZSCgy6zgHoXaGUbbekr2TTirtECWhRU1Lh3XB1BDYCeproKshV44lF+V
h5rbj6wcZT4yKXPL4qsp6K+IQ99rlFRlyjYwuOsFFxQanFbH/apneuaqOiyr+oCCEy9nKJEJ/XpO
IficoVGaXWQdrJMTu6dAyY98RBJxFRsY7IkrUrenZS33UJfOUBPuBFbJthHHcuwfihL2qY2h/s76
glj1DXO6xy4qoUMuSKq48DzPMe6LuDeCDoD5DE1+mveiVi9SYW8J5xifWRDxAZbvHJ0YY1qZ+Tke
xglmGyLtRnb4w6v6g/VH1EyAU6/hPydt5Ks0RlnKrl7KF29+n7cyKxQCVblc6Llk7Qe74BUl8fTQ
zKOXF0ah7iOMU39wnrGQv5d8hGVdh26y+tgjB/UZpWVvq3a/GoKLoZPssdN4w2b0CWRBgyAg4bJH
rji8NQIlTz4Qta3vDjOlQSdRfY9fNZun8garJt0FoJFSbsAgrE14CaESoWjNPU6qrqAFRvZI5+DB
6wosfjH6NJrqvZ1BURd0tgmZV3kYavPkS7WmLETDFKrzTPzb0PrvlLSN+X8/JeXN/2RKgzL+86i0
feHvo1L8H+TkwPH6FPrCr10RBJ26HjowkRoG5LuhxD8suPg/UNrwvGDYR9t4tRlnP0alzZ3zKOoi
wI3CvflnFhxg5z+NSvhzsL+5eP5wiKTfH7aBnhc2cIgBZUzV87xhhga8oQOBMAnFoG/RHgcYEZLC
a0C7MY2Dpk/G0AnBDQIRGhwjTysHWoSyTA1BgL5Aaw8zjchD2qHDb7dS0Djt1vME6UinI51U3hex
SfsNnxTgKNGPhf4IG5VICoRPMVhL7N5yx1bwsyE4TGwM/KBBZo6VfSlmUPtGdA9alTiUnCo+EJd/
luA6re+egZpcK7cEzrehn64WZLcEGMI6cKHNXO2XDRRVIEZh03woRu80sm5A/9b04Bre7HiPbrNp
BmYI/uYTQyfFYdxgVI2ur12s7DtT7B2lqCIDgTJlAxjW2Pqv0lPy1E2NQtgt+uiZ8q7cwFf8mJ9j
2d7UAWAF34SpUzKlni2SFDkWtH1NEN0NkNMFULDjCsZ7AUthDdp31pDcbple1XR7ipRvqOf7mdX8
gIKJCFGTAGVb87pmonJYPjn2JixnP6mQHK6QIDZblBiJcgWCJlKJ3ILGAonjxsxHn41vaJdCvY6P
e9GEdPK6xZQjd3nGMDBHt3ZAcrAb7QpcAsJBfCmd7us6lQFYSCPyQUyoY7OAMuja2H1bwQjtKxEf
u34p7/zaewI6ACgVnXEHLyqTldf+h9UNk65N4nh6nFjDr3FWdqfVbTW6gpz60AUqn4V7T2AAQYqJ
YGjBCUxqt3reHEJQMFOU+A5cCZ+jUrBjnc0ChSpEnPO3XBRFwgaEU5j7iF5B+DsCKPcE+bhhJzpJ
vMRoDimEfemC6kvot5fCEaBRSd+DJRtxu3emj7Qd4ANR/4PjNW8QIZFj5+F+iakCDi8Ongt/MVRD
Zqd153i+BEwe7RZZZ1aEwMnrCytC9FGiGRY9mA/tKr+6jYpyVADilA8WHAQ1Rx2rIz4T5rwGHsCW
0t435XhZjPMI2/lthKgAKTUG4eqce6uvXb94slKcl7nFu1V4z7xFHKjUxSN6EM+jwCvUeZzu/A7q
Xh3F19KjH4pwfsJ+tWKUbwToYgiP6L37NND4ftbimnd65xUbiB+am5nQe0yoMmmL6k4P5IgMcYoH
1Z84huGJzefOCT7xZXzeRF0uA8BywU1ZrQcf+0nnglmuh+U1mKJoL/i29VQgQHCbQ2a/dwAbbkRP
gS4/zOn6VQ/tyY/NVe17x9JdnycJ+sygLCvt/fnY6WBr6Nw4PKe5B6z2CZWPIFswVycri/ZbOVQO
/CTKi1ENOUpt2h3alQ4rhUMtulagca1L7QBI2gONt91xcZciKq+puVUTlioPid/dZJY77gIPJ9gu
XLwEuCfd+Qu7ElP8OWAIuXUhe/IYvfJpL1J/Alxllg6FJ9stTpcrGgLcBy+WuybEbOJ1Q5sMICNj
EjSHFsYqaTBw8HbEKoTrbVr5A3Hpp7DFjMa96ArR42LPuePs4HLckxB8Y89rgq608JOHIr6cyAYj
MuvyxUdlXlt5dAuP7WoAPHpciwfRrwKLEHmUlZHoZAirz13pXDOUfuWIzKLEoHqZS3Oj4/LQBtHX
FUJhPoIdABnnglTsO5T9DoGD8OGwti8tEFB+tXp8SUZmVI5mo3MQ6cd4o571xj+jLvVNrVUMz974
CFivr4UB/xwCm2aj06frpG9p1VyXAKt9ANYWoDXZiGtf6lOzennNaZNPY3AHwPpqitGHyDZeWwDc
jgBwuw66a/TGdAczSAf4xo8+cO+qQGER8G+xceA1Ojfw06yv8YaI98tzG8x33SxucT3gRQBM3gIq
XwO4lePGWBpX7oGPTJB5xwcJFJ2w4YT6zjN17ZP0UEQEZJ0BXe9iKtHLg0/1RrWHDYN4vZHuMUMC
u9rod+mCkMc9Npur7iAByOuNlA+BzHPBUAexUfTBxtMDqgdZ34njurH2To2qvW/0/cbhg8P1jqDn
qizeKH218fq1i4UQmWiScAszZaP6/9Wuvpmgm57591PZ96d4/fYEtz9PZtsX/zSZbRkvDGYUDzVA
PeF/RSwPj/QNIUFCk4JYRTZu6sdkFvwHlV8B+rVAnf9BxPI3EYu5ke/DWMTU9o/gcUhov0pY6AmD
uo6mdc/HHOj/QcLyS8CeaLyi12X7tg7X1n6PvP+tA0rJrzowRDI8/RIVxRBZI0Dvf3JAp2KgI5IP
0zWaWXPP674uHQVMI+4DPX5F5yCGOF1lcPwBrDvyiKqaA6oJ/z9757UcuZF13SeCAi5hbgEUyrKK
rpvmBkGym/De4+n/hZ5PEkVJ3THx307ExExoKBJlgMyT5+y9NrLBqqLwMkrMNtq2MJud1NKlQtei
t9U3KQPsq646z4bqsEth1kTZBdOrSE/a0NXaJcxRWHDsHpB8qJorojqffY1OCJQwWeynqA3eRyFf
aRpAPo+hqomyJc6+1erKnAL+udFbFY2YHEqPCeYxz071tz6acr9T6NPpKYByvMg/ap+LWZnSJrOa
R7sJtQ316Gpl0sfrBHcIavSy85VGSxzIlkxy4+dUVU9CVT3bzufTGA71LivKXVF0i9eASQ5EtsX3
fIXSWGNlLJ4leaRQ0Kf3PJUunF9L1BXL4ve65YVVd2cmuSPJ1V5jMpjKEgjg/tBVcgnUYr6ZUuuQ
LFOBrqphzJweatN8CZRhZONKdiEazD6NXzqcYkg8QFcIa4fo5iLBrxZwVaJAfQLuerB7c5fX4qQX
Nd5ddbjKtMUzco2mVb0z5hotv25/TeIFhX+aXTcBkvh2wVEQy09VrXbuLCVIivT7LlPS1Zad0tfU
7/Ckl0ytJ2SiVryfs5r6PRHUgImxleuYbuo6pNXtzciomu9i9bB2gw/y7DChrrP14UEvNXeMxNlo
jae2Wy5prN9GOZ0fqN1bUx+uorHZl/O4D6fkIRoYhub2uKNGPUVqdmcoTHG6JHsAWPYV0fqDEfR+
2eDgXgQE5ubZ0DsK886mldM+lbx5EMfTVpqXb2lmbmYzcptAeFo6ndgqLLRe2Nr1ueCPWsiBdTNw
QsN85inwkzh5CgNkVFOLIlzqe26b+n0uk53VJRtdq55h6DxJknzXmjQj0iDxhsl2ZZG9Lmlwk6Lf
xcIVnlLSADjdV6mjS+Z9BKi3rvrIDeMQTVqev9oK0gKpioaNtWCUtKa2OMS0Iz2pUgZPGHeJrT/2
IOipMJvKwTbP05OMd7KSHKW+sqhh0AELakOUXOJ2ssAA9HQvjxQl6Sqsajd2VlHq6LDbxpbuNxi8
TUz3Tzas0LPrwHoFQAyGAIAh4uLK6Hm+sTm2bj5LWLKTeIjxlMTGqa4MfI18FI6WVrjtJVAdSVZG
HhtlAzdckjfdgoYLQj/Dbstgl8x7fNnI961oVp2ubo6cnC74Bls00PSqFY25q6LW7U5YVrIJ4/5k
KOHgtGlVbJVFbINpsZm4qorT61m1KbtVUpbH2cWEVoRAUGpvUECFbhBUb2KZvzaB9mKmoEc05SqJ
lNy1FUmiiSmdghTHoJIpgspBTOjhy/yuFL3Eo2oG2UOfFrfjgMQaQ9FF5zjFyuI2ie7hCMIsWxVH
szZZEIFDKeYqt0ZUXmEBZY06hHWwgyJM3xFn3NKdskTaRiK6kjP5IW0GKkb5MNqUAsWUPutJIJwW
zfRoBcZR6WTKYbp4rxxGVXdZViSVXo/5farkoz/EGoPekoEAslM3spZ0s8Rxc7VY6VlTq13KZFyp
jdZdfRKIIgqH6YPHkrdXlaCnj2Q0+2wevqyNs1zNASM4febBB4s20BFzmzWnBy9glAyQO4n1V3qv
20jGFMIxm8vpGB0M/VJqGUJa+lnDbkiiYVvo+bxl6Y8egporqH12X+Q0tRmU2od+bpJDloTngtYq
eFfN2uMKihy9NO9FTYKAo6PWha7V1kATg8DHJXFvBPO9VYhlncQjCunL1hd9qDjmOPndbEnbSh7Q
MM41viR+0cFJ0z82cWb5Kx0PIkGMxB39erfTh4KveKx8zcqBpublkzFU+2Kka2vOm75FVjybh7Se
v8hRshlihgFlFX3pMxXIRG0fwbYO+1JKGq8MMtoVfQK8WpafkD5rnjbp9WNvVIrHhGXBRcSNTiO+
grejPaprZRmoYsKTKdnMtuVfCZT+2paxVu4S2RCUGvZKk1OMT4N1Nc8NKJlJAak98UA47oUx3oxN
638ojv5hgK7+83V0YQpTI0TT/CSD6glEgLMRFec8y65aQ/3CqnRt5fkzy2UD1d/mC5iz3TBVqGHT
XatGp2hQHUstjqxUJxG0TmKnN1GALaaWN1oE/tnuUA8H38veQETCI6Av1tmQw5efv/R/fOXM/ZEH
68RI/ICgfpjxibwvAQGl5B3QZA7nezkBEF/+R0r4r1WSvba/PigM4GgBlkEgxhGDz4gbnZ9/uApj
JpoHKZEwIOFbdD76XitZGGRM6ChDBsFEcHgkrKS8KWzuQVvej9a4UuUqFipNvlmS3I8Qud70kWbf
FexKsFLOkqxkPCV06YUKM1qU4TmGwTEFdIpGlefGyOnQzLZYboWSvaRdxskyjLfLWDtBqxibKIvT
Tdppb1Kj+gLTFuaNGjG3bituWWsYyZqUDgY63jky9vWifmeI8TKZwukRFDMjzK7mBTiTSdjKTlbG
5EqOaNAsUx/RM+pi5Cj0NZQ4/Br0Sn5fj4hlbSU8iXyVtxpVtzNgSw0lW5xSge8jsWdTyeoF7G2B
UhUHnKJlp0B+6QG6CnPPuvhkSRm9llHZzYn+lK2Y/aIqFs5QaKMAYC06pQdsrdQzQwZQk5TvaM4I
3DHTgQP8SwrK9g2J2FY2QLmaWXSllkvmaG3tx1oLmladbnPDyM42bjPFWKZjbbb/4Sf/6+2g/OP9
wANpcTtYWCtWW+nH+yHQ4O3zs+6MVORFs9vcQ6GTnQ2pbrGsR89hK2gtIcJSjMmzYtoXrKhXfCoL
XazU3OFcv+o42o+LeiVK61HTi8hvc1H7jCP0fS5U+gcxc7PBGqyNXOrAZ9nUvRFgvQdVhXqEhUjO
S0yRor4Lc2wAStSW7AaoUTqQD0VV+6RWQHg2XhA+CndQSniyOdp5daZ2nkPmbIpnAFGDooPHrBmN
x8Qy9mOgfmNKwPB3ZBkANGMU031gJycTIEzNlJU+FndI5fSzeicGWjlJdFfH4pbx8daYu0crTXEu
FqW8MeqeWrAeNm0/DpggWjQaCTY3AJIe/a8XiXvCrWztSdGkRyUaaq8mCgpiuIyGTIJpNpUbRW+2
spzsIRlvVNCE7EaeniJltyycEEjQR7rWbPPwYrLuHkrR2WYe0pbzizbKb7XWvBSmsaH1dpX2hZcO
6aWMppNZGP5Y6l5kIquPC9NV7fgmraR0T4AJLZR5Y2QBeBwKGvSMnEt4GAfJvgEY9x6bElTJWXb1
PmHc16eu0UYwLJnqKgZpF9o21mq+JQWIpB4uLqSNCuVkdJKUYJMq40NZdhitEFFGuhNGpa+m0jFn
F49GiANK9jRUrY+PoIAfr3uKwq6ZBaOPJhawRV55vVQjvE+lLW3a40IL07SBs48KKrRWZtFdaLcn
ikUnxbrGmLULi+4YjvWpsARVb5cRSFGBdZoz86CHdPfUBLxeSUNVq2KFSJdkFxErIbWcEjLDTXCW
lsg+ISEjR0JDP1LHnPPJN2a/1Heg3R4qGYF6Ll8ZAl8XVuVTEo2tMwQBEGOVfncrFMU1k6DYjgNY
HOqGHXSCFr65uWsGqhCz7OglBcMGQ7Hyi63tn1buD0+qth5/P6zcamTPiV2lZEqw7w/tVV5AWxhQ
BoyXtLlSOLH8fD/6JFv6sVN8vN6nnVRlZsHpgpWhLL8rhApNtyt5Knwc9d3PL7Rmtv1tTzIAMBLN
B2xWF+vO+OGdjW031Am84vOiMEmo4ql140C9F21IMkMpcc/hJqqqGGwGMrMra8UpGUnJaCFZ5M3I
33VbRXonFu5mKjS6sFr/FejzpZTNu4zyjVOP27XqHfpLgGRd6Odd/Izv6kGKsuo27NNhIyKSSnLR
H0UiOxQWm1kBckKJty0gnTwQV3ZXLZlHJ+XQa90+1tQjU6K9IIIHVumxYdsmHeCYqnC5EFAySneB
Tz3kVbOJs2A/VpglswkPqchfFnkWLhFIT/VkNw/qilrD/Rj+4lP9a7+FgouN/uOHukoNP3yoEOGK
uGGieram52h5na1fBUL94kv7tHHIUkaNHKbzObbuqoQuv/blF7fFzy/wObwuN/JUTunknoV6HaMR
5WOSo9n9+UXWT+FzOQRDlEkmCa7CMj7depPZElWj8y7o9ONw7cacmuQLhutffBvqX+/xtTkFgMHE
CUDzi9JU+XShOYmLMVwqAGWO8sam5t1nfuBJG6Ki3AencB72hjucXm8Bz36dNi/ZZn7liW53v1KY
qmuf7fM7/vBY/3ihH+4Le4jtyg5ZRmABe7Irb6a7fpvfRL69sd2s8ZUtn7OPJ82BHLCxvWrY6Ofi
7ecfu/inV/Hx7lwXnw+vIgtaYG2IMc6P017dmE7n29emc0GjHnnbB+GeDC/f2ufIn3bFndjdB164
nXase86yJbiw9WidebYHN25HyNglchiRht5XqMNn6Plbsbf35XHcNV9y/+7nL33VAv7tA/z40j9V
0JLaxhmJidyXDrM0v/1e+dW94tUuajYv8hBa+Pmh3F6/nTb9Xrgc2JMD6p4DwyqXzYeQKedb4H79
+av6BNf62+NufNodYqIOG9PgVUV724ncZZdvg3umECkkDcdwCMBxZwfu/bneqc800jY/v/56+36+
qz4+R59WG5YaCbHePJ3lpdyY43jE7H8eenxdP7/Ouqr87DqfVh0rZu48LBk5DSFM/PFNnnaj8Tpr
mxqptFT5P7/aP3/Vf6wOnw+TUs7iL+qkP0dmysnvtgpv/v8uoP71MUAkkBlGzgEKzZya0Ae0Te/n
V/jFF/NZOYppzypAhM3nsjq3eepX6uPC8PnnF/nV5/RpcWuVDAkdov7ztH4rS4YCKXF/folfvY9P
N1hfLm1ftAR0jMPkxsaZtDd3ya9/fpFf3F3mp1XJCEJppjnHbjAxOLaZamXdRSP1yUQ1lozqeQjj
X3x0//i+hI1chjkLJqJPl7TgygZV3PVnPX9vEj8F3JUa25+/rX/8ej5c49NDk4V2K8GAnM4C36kk
3+T5L7oKv7rApyVxgRijJWU9nGUWbZrRqZb94mP6sT/+7MFfN5QPGwaQFAvuK/cxZwOndsPDsEuv
OCK4h8aNNuEF6sTx55/aJzP/70vqH0+/sb7rD5dU6P8pnRqxRz3SGC5YVa9Cru2ML6RG7gfnGtsp
P3DEJncVx7qRnFugduzq10/1tXbg1A68E6+1s0PlsP3Vy/vHjfzjkvv5zokbECUBD51yWTdyyQHJ
r+8LxXXSre49FM5Bdubju/zK4az5Mh9HZ/zF6oUT8uer8afvfZBaFJO4Cc+dh4LWQ/yrQuw9Zt6t
fTZO2rb3nlCHOgUdW7/ZVlvLlX6xQv/qJZif9j0Ju5JejFV3lo6lA84YSsI34Sueeey/T7tqk5/M
LeEC70BS3WmbXkIv+f6L+2S9xE9uTfPTfZLiAIYszK3Z+JOPBNuJ16pun7r3w37a7+O1aDkjy3kg
TcXL/WprXqO98PpNtEfG8Px/Jo9/7en8oMv/7fX8+bh/NhFZks1sqGBJqTf61oDE7E3+4i8nsmOc
t3Af+Klr7aEhO+Vpcs0vG4vqANHsNvXvYuwojP03Pz6h/wkq14/+30f3tzFEkzb+xv30Z5r5f2Ao
6y/+MbYntlzj8KuTTr52Zf+c2uNKIa9pHZmTaA9YhD3v96m9DgwOQxEtdYN2LvP7P/WUTO1xnliI
KRW6yavU8r/IMrC5/Iebm/Ymmco0iwlaNwy4w8bndVddc7d6DctGWdeVeZLIVooyx9blNmeipifp
xe5VLYUCHgCJikf0ZAryf9Nh0i0uFtvppS9rCR7VJO0FSY1XfSrN3qi2xTEP7PwOwdZ4YaJWnYq4
K9+IvhwPaj6md7oyNkfghuRudpP5nV6bvit16NxK0ogIBkpXPuP9km2s/qilm5F5qJ1tU1UZvSUr
xOswGMq7pMXLrdoace/aUYF4cKZVLVu2s1QGHEo1gTGwttpjarzrPO+DezWxAb+h24ru5IRILtZV
U6mX/VJF+C8BAVk4cbE7hyoXpJMLiXVAcgG2FEIY7TpB9tJN0+AvpWHRqLoXLMYgnw3UNJtckD36
RUoQRTr1kJqmO635Uej2iDCFuzTXz+i4tb0+5N1mwazomUvnNBWpi/RCPaUQkScPjS2OAxzTlyCJ
DYaKEQowIL+gqaR6IChsjgtN285Km+xpl5uATwGtLEo70K8dBOYEM3ljFB0dKiPQliuR1N2erko8
3C6JhcK0EcUCVIMbk1RWm9BH6T8Vyf9WBJna6t9XBB9+1j9Z0dbf+mM5IHTJwPAFgoDaT14Lwt+t
aKh4bDpkSKgNebWE8dD/vh6Yv/HPRBDQgIJY8EN6/bu+WhB7AtuIcQ/6G7yY/5WKxzT/uuevjQwV
SCsgaVOhpyG0T3t+mgPImzCYneGzH8KuHoqrblRn+qv5UFVk3cb9srXGlhl8lIfT19JeEztKu4Cw
1iURfoX2jrDe2YvYM92x67ekmHlYjzFjy4VK9FhmOKWdvJJ/GNN9F/FmlugcF+RoAsHssIZLTyTD
3oJ8xKRWKulNB3PxDhzfzsYlUJgBwyNkeaEcS+c0KKyRJ60GLyiFT3PVRddBEMXGdZTN5rUoLEYb
Ogx/zTFou5eeCHK5uDdMiXReRIfjpp2UoLvUUhvFX3tUtaRxp+NDqtoRgMu03MVRkszoaZsrooUP
Yy9uRajPMMuKr/KS3fc61LYyqt7UlbBkRP0rObax26xCDEV7jdaI1UbSz0avAk2avvZRLFwNdbc0
SJ6Uo+cLV7CQXjG4tWZEPm1h6swSMHcEmoU1PgX1Iu5Sa7wkSUX8gRR/U23zPu/177KO7aPN+VCE
1d1gbEHICthnN/L3sQFW6fOsheg/xngnL9jS65UukGfWfZ0pql8WaQEcZp2tJ+ouwmlXDEPj5WO8
1yI0RiKPTMB65gKbOC02NN9Jgpbng1apN4Ha5y4QYrBLurorU7z1qkXD3Z4ndT8PKBmkXv4ml7Zn
9W1ONLZgoGC227ywXxgkHA3bPLYayQyxBb1PW+w7hA4DC3jrT4H0TdiLn8nTntCrc9jAOaTd7lXN
Yuw4sdM1C6r3rsSMbsQjrkApfxsjeyKtr3jklsYBabMQIrdJfW6vG6hBHRqa8tyJRGK2G1xnNuQI
jEHMNJTboJJwNyKPdeSpES5EznZlfHqRKB/7RGUeFnaHjm+wa3ufdJl4Owk0AoZcl5ulYAI2zJep
Fg9K253tLr5PujJ1Y7n9mofR7Rr961Vyj8rGkPYoMDVniJrb2QzuARDeLDUzGSZllUfyTejYcTx7
ShNcY3Rk6hFIRD1Kb00tsSfoVbqdBYrTRbEzF/Nm7oWiJfpRZvKiz8uhrMxLQli1X1oCg1NfaG4+
ZDg09fEE9+obKT2HuLdIOWvjKyNhWB7L5pFcG2Ur26TXzsSDKDwAnq4kL41cjf5sdxe70R8HKZJd
HnWcfnNuuFGvvedzj8SgKm/7pXI7FF3LmrtjrpYdkoSh5uDiUVc7j7Qae4JVn93i9clmddn2pvko
VhcQ2Ib9sBqDskbd4/lAw2BZTOsxDxmrjUheDUVjnVxiHEYGTqMcx1EYcW+PkQkXHjdSnNvX6mpP
Mlaj0liNwDhW81KNi2lc7UxyI78H+JtkLXuT8TvVI37JeLVABZL6XccT1a7mqDzPv+YjdikV39S8
GqhinFQljiohlbMY1tiIVj+Y+mTcaIlVmeSTyOzDUf2qjcQgqYLCYcWur440Q5rY21OsEsPy2mjq
U23Z2s6WSZ+obPN66YcCC28EAKsBQGqQmeGQ3/QGubndy2Z3FxWMz61KznazXM4OlsOEtVZ7Ru5y
1+UkcY/k7/pKH4weGduJl1RVAchbph8H7hmQxfdhmW2vEMjEE3XwhqA0d2la2O4g6ZR2SEmcXMZ+
AWf0DZoIp9sWU68cjOIcT4LzTFszC5bUyNPU+nYsUCPPFiQ2hRToNC4mvqcYVrk2e7FIZm9Oouoq
N8f9nAfPTK04pUl6vlFNqKaTxt1aNcmbYRZYKjBLbkQR+KGuzYxrm3pfVrqfgm1jwGlkvmXh4mA9
xIKZ1M+NJYgxl2BEBtsS/f1NJMUGE8DYho9N8QU1xfYniaKPSW9wYxRq5Zu1sifE/ZSYMay5PLG2
mF7g6cM8xug7z4eo77+lYOT9qOq0g1ppYOGgbBF1ERa7qCiWLwsWYk8fZ8kXUPUcCaW+E5KV7ohu
2BP+vZqZLXQ9gvzpzD4E9nKU4iVnjopZIUiXG0KbPaDEd5ZkGqelxbYR9TDsEPNfo6+7L1RYK6sw
1KfEi50+khqGl90bMgEwtrQEtpMFs2dWGNSCT8cYl0XXXQxiKFhkLy3jYVtVy5HEoBMAfo/Uk+uB
INSNltQy4TkjUFuzOdsiebPADmIyxF1k2nhODEmQXiCgnVvzJjBCSBtLTbEsY3/t05cyla6zJr5L
oe27MmCJTdIohtPo1feMQJYwl3W/03TihGKdPwnh1hszRJkxVoqhj8+B3YPEw5ftjXUTuGWQHgum
rbtkSsKvNb51KFpPKO/wIfDomhkNsbx7EprkiKg7Vz8AMF3+FgjV3ig2fm87z772pQXeKEZ9q0rS
zSJXsidl8ZVC8CzQ5/SYNVQiOnuqkAYWMEX5PlktBNDgZAVzvsVXf4C2a+PZlZxEFA/53Jyn1Qxv
zLiuUdHh4m4OdascRZZ/kyrrfZzwghjYoYpa2gVt8h3ekd/2ZbdtzWrTVvx0LKWvciKflvCYM29v
ehNCXPpi98krmeNuNWDgTBpzD9R5vWus0G2N5rC0mGfNlK8nx3aT4OOaFu5nRqF4XFT9uyYDiYf8
dBcnIf8yC/iQQyttMsXRySF0YV/GWyq3ZyqwfTyRGEel42idcVhEiYCuii9GzWHfHh8UjT9eTSU5
xskxxYK21fLuTYclGWJlditobbKZQ6wrvioaG55dhFuBJtGbLe0MTOdLM44oj1tyEqWqvq5i+0Rw
HOAoSIq9RLgQdmsFEBKm/XLCZKIm+H7HHO0Iqs+WNEsfnDVnsYWTFKDLu3yoeWsWyoiIutOxspic
YG2tHhoMudFhnJN3RJ6xH47WZVaSbblsW858qrVt5sJTppMlpfdRNkC50vXchfy1TZKBmAvsyYTQ
vWrW6Btj+GoZ8UlXewKBAjniy6pfSGKA2KuOiWAjHpojj899OKMKwYzxValMdKhkHbfNxtppYbZT
YWgPXeoFllbdFEaTk4dQxAaIPQASErLfspQ50xVtcwBzNOaY2EakL36ZDdJ8M/PtFLKIJU8PAOaE
iznGnmWnh5IwCmdKJZ42idB3mz56U+LHNxNyvVJc1bFeejrCLQ/D7iNiiGVTWEONmSdUNhlZRFpT
3I26MfmtBsU4aR4QZqI1ovCSgpjpmrD3kam/kPZ3PcU2cUQmIVZR3OVAFHhCULqQ+DwOeHdxObGd
rLpgmY2tZUvj+1u/O2rz3iZPyo5OdYNmLKt0b+rM89DF9ADM05rejVQoeVHs2Wtt/URYIdVNWb2y
t0BOzzI3LawvbRzrh66Xvy8BusglkZF5DRbix/4aqinRhRHBTRwlHOqa0TOC4lsz5juNbD7YkeXi
161x0uvsVmVsX3QASEVejjvW3ZONft+cBZsdXG487TzRicoFRQMVRs9ap0WW3LTg0uGXbyuVatdW
0ue0jl09uqTonBMUQeOk7UUDrdu2ELYRr4wCqbvkIvkGAx5KjALGdY7PZSifBbmkWTGcdfVi0OCT
ltprGonetFw+pGO476L4qTO7L5VdQkZCq2A128kwVyGCS917nmv1Oa6IIWwlVsY83C+zueyTPnvm
BX6JVp+OSS24ibqK3OpcetaZFT3ky4Dws06OU5RCjB2Skpzo5WocZjCahvJYDTKopvRmHIuXtLJA
w7aomWf7KRPlKdaih3zE0Pi/Ft8Pd47M+fbfD/Tb7HtR/L29t/7S7+d5VfnNEgaemx/Boj9O5n+c
59XfkAPo/EcRSDHXSfPv53lM1jJhpX8YpvnR7+d5GzyhSkgp/4XaBU7Vf9PfU35MMf7sFnOeRytr
yYhvVctCeMqf+8uUo5hbU516y76oeYNiXihLtW1+ZMhpUhGpKGPyNnjGgNjcaD8S5/I1fG5BC2Qk
9qkp7JTtIn1NcQ3OFAuDir5m1uExOJWWTWve3rIvJiTm/WDfcEx9hx4eu2S+sR2qWwm0d9jGnFXq
rQzy2yrYXyppJ8XZK44bDbVVeQqT8SZdaeFG13ic93YgcnYyx12g+KMLcV7C3MbQX7HPKhVQrMIg
x6iR+ciYd/PKJy8k5TUBWD4Rb7NvLPOxAmW+NOMb6+EVCYAZulfS9J5sZHjdSkDHwfu9AXaRrmz0
ZKWkk3tWXxacjlDQClcdFDAe5XFY2epjB2U91aRmU63kdVmzeLcFEtC2hEUDot1aWe3jSm1vVn67
Sksg0klH0PrQb1bGu9KE5iYB+26Bf8dwPnj1SoQnePUpBxHfJwlVf3mZVna8lAfCz1eePPkZ+3El
zNsxuHIFoJwnjzrQjZVEjy1DQ2GX5y7BIRDj5ptcpPsWxLJDTtu3OR8s2qCw7ZsywCmNwEYL5xcy
JOHGKMp7p0oHBTA+nq0TtinI/Sszf/hBz185+uVK1J9Xtv4EZB8nzvdcKsZHvs9jJ56X3LjSydYG
FQukPTnIRnA3rtT+hijKFimgXaMiVIuebQwZe+hUGWYMgCddagOKDVHYZq0FsUYM0Ta2LCh8xFPa
VyqxdgczLYctSU7lns+lkje6TPATQdP2HbScHhHLrOBCqkvaAYOY9S1eXD3zsn4Kt8pc0rw2i0Y9
mVnWP1ilYe0I4ZIf/7cc/lgOxU8nHvdNTI9+/vuCuP7aHwui+psOYQ+V+8pIZ7TwocGp/caQgSD6
dVljEvF/q+FKZKVLbaKMZwSh2bQwP6yG/P+QXP8MZv0vph0krX4ad7AaopEGAWbzP7yUT7M8qcgn
o67b/LpQ8NVdtWofkNixgrMw8s8jXttpGnhyMrN6qwecjCUAGI6Yd0CMqLXN13kAQ1n14a7B0V1X
gFE7S2Rer5tnuYMSJbG749qYdCcobUxS4Rz5KsYl/MwhgNMgdYchImwkKC/t3H2TDJp2wh6/6ZVU
ksdE3WDzzHLoOU7wChzNTq7WCryRS+GVkbacgTlCfQr4mTk330iUIaOsb14HikCcEfNWVq1XaVL8
aOzwqEzhzjS7c7Gk1Ht4QhxRj0+jJX3Jujlzk1S500T3GAJEJhFKsrbw3Y1LSJIY3UsUur1Imw2i
zRfTXEhJRUTtsJreEP1yKanR4D+quL3M9YAb30yqfMhl8V3v8i0L90urx0ddBSfZ0GGbLPWIl4t/
297lcvPYa/G+nHqD6jd8LFvjce0IjyWNLu2tte23Rm0vzRI/iHJ6S3Ur91SI+h478bXEi3UaMe5y
Cign6SScRVBa/TmN7zDin5nsnBetDtxExhU9qwS/iNrKCdrDnCMU+oejrF9LYsyORNKGDiwDE8y1
ckwiI9wmUm+gac6uorqnnmunL0YrHVROtI5tdgerBIUl2/mlwrqA7ai29k1VqDCCxq1FpcbZGAdd
NWcW0Nao8RKZFF1jCKaN6NXV5MVPzVndNQSIBZbpZ3F/bcj9RS4LcIGSXW8bKPwTPluiS9K9KuD6
Th29QX1cwIfIDZxugYFRlYItD1rgjiTZyqZ8jvgq1kzA10Rqbo1BXI+hvA8Tk1QkNdnqSfklh49t
rytnuhhfOvBach5+bcGCYlWR3HRRSwcCHYnAtR1hE1oeacFUUACqQ2BWD1jrWoBF4xfJ7ipac+Tx
LJlUb7QhvZslhPoQDMAUKOV73kpM28rqSp/tS6pjk+zoCjtWSTjLNIybyZrKi4kJhmelsUhui1U3
SO0dowKoLDD+X7qgSjy5rQLOji3t4TTBA4eDIv6CESDjDozNDc8aNtuhdwGOd9ui7dBpjE21mxRQ
+1opHwGkXemFtHh5QpQQG/sNNBC8ZUW9eKaan+O1CTBLCIGInGncKVz2wVS+pNPaRNHkO107SPN7
KtfU/WFzW8Jq1eYp8aIIfhnoGXg47xA4k5Vr/N4s8pPd2id5zM4VPI2Vn+OIVoo2BtgMZ87r26hv
XzJ9bW/Ne6tcAH3QGWtI9qVnDwPEanW3seZ3tW2eyTY5jmV3gwzxqgO65GNV9RZYAvAocE/InIJx
1KpO0qey09vRwLihe69WjFw2ESEBMe8lrptn8DkkN5ZYJtRyqglGsAwOZqDIWiFZbpboj6y6NZ0Q
EhCHzHjryK3GiUIzjgX52EoNWVlt3/vRMhy6gMxaALu3RjS9JLFgS9dT+kF1m22qsFPcVkd1mBse
HXL6v9F014kaLHFSbLKJc16NHWZTFKLhoSt5JCzjil5Tsimn4FxmcEL0PkCtQGZOQDZ2Wdl3dqDv
tGm2XKMA4NDPGa16xgGhUvthZ2WPpMfHaP2HkwTBcfVU8GCL5AH4aucYw5j6LKu6G6rR61SUBibN
2B/G4sCCfjvr5bCr5Xzy2ABuIEVATwD5OzC120YyeL+BU7YjwBIHFumPwf9j70yW47bWLvsqN2oO
B/pmUIPKBLJPMtmTmiAoikQPHPTN09c60m9bku3rcNXUk+sbpskkM4GDr9l7bdtcZ3V+auPhJiEl
g/kVsnxMPPgBGi0oo5zvHYY7y07d3VL2nwlOlNllDXFPJTmQdlorjNqUD09mEHZxk2xdT7kp5+qz
bXBv1zkgNLNwlXU+USsx5iuvVEKlKN3qZ428gHXnAtIr5gnukI5THKQWS17ObEuUKnZgtduw2/rc
e8lTJbiQoNVv5i6iwOQjx+ZDVPcIlXvVTWq0IUyO93RI7D2A6J0XmQWeKxItjMrKeZeGh3imt+SZ
uO5SYDyJRUwnVjMw2crM5eYSGQLznCs2H5KTUJbRz8z0PAOow6oA2SVSx3GlZPaD1c1bSWK0Khm4
KN4nyfZpzfTZtiGPj43CpdeXJ42h0pVjsaZ2MZw6xDepGplguWjW5qwzmHXV6rnO03zfLvWDoXPj
56XxpMzmdZd0X8Y633hh+sDDXoWV2DJMBxzeJtG1k9T3ZFLsDAXCmBMPBCf3VY/nbNyFICEdWqNV
NZjophpo2LrjvDFUUzAYM2urK7Fs5sq91cKiDixpgCnxvgdCYIke8j7cq838aqNN4vMc9E2Wuffk
f8DtDpVDEkWvMNd8gt7hVqdiW9UV3++IC7ks2gr4ehRgiH4T6YTbrEteqHDxC9X2Re3tx8q0t6HI
p90SGR+pOjqcsSgvdB0DmjvhvrJJsQB/AvWS9QCXX6p1Ky2Zkegv2otNyh5g6iRYBB9sAxzTj9kC
+inJumtbSV/ZwZ4zLKnrjuHkuh4ATA45b3XXbOfFxA1pWOm6V7NdGjGERo/L867TIV3rDA4rMsgD
QBNfiL2ZVrULh3vQDHVdFVDZKzYiFVgtTlX7qXAjUCFRCPC2Vu7jZnxoPHADZeKtqzEnposdYdS7
Hd1hVfu6Gd91NmzLMO/2fdSzXFa9B7PsL1E+SnZdNwYFk1fmH9xPcBk2U6Tkvp6Ve4XKiRsyVddI
Tj6LqLhM+EUi3i0eIemutvF5LHXyPoqBWab9YavKvWK4PAQKZkuZl304bYErKtffhrk5ejzJmSpa
b4gptrXbN34ZaYewNErfW0j8m+zsKSqKdo2rXV+7PXtxpdiQ0Kq60YnCwFzR1lQrrU8Pwmo0adJN
r/Sk2oc1CEbXzV4imPurYkzvtQYajOiVW6fw7JVeVHuT0e1EzcUeeRGY46oyqDvaxxnDMTEmNX8O
yTArd2zMoKrMo1tXF9edIc44gEe57z5s3SnA5ztTAMZqg3aFaRG3LiE0N3kE8Ixr4WzYSReUVkqs
Vybu7ITPCJ8tAMV44pxuyvNkNuWmsc2D5nZvaYE2Vku6p3qitcI0/7CwSZzm/F6HHOuPMAEqR0WL
AwbTHUvGap0DAT3vT6JtNqWKKUadGVB5cCS4atN3j9o4HqCiwWx9Xwrm4h5Oe7Cbe10vn5OUDt1J
H8TA/LKlynMyjr645sqMiSvaVtip/bp3tmxrP+yYks6pphejoOYDTrNO8vQZD9geS5cfZ+Vr6Gaf
066/Nk0ibRJshBGGMOaSPCmNegdt4naKQZdZWHLDurqbWm8nTG/vWYrPjuiCyQ+xjUbYjBEHcZgH
STOcmonONBEsgAgYPrQpA8M6cvTsJi8X+3muEhsVvmIN/AurI/JthlLVW0L5ZtD5V2NjooP765Hc
XZW//pnGRn7Xby2o9gsWGE1DXafCi/HoAr+bySGvQXZtgqiBfMeXfp3JASrkPwVWSDzI1zDV37tQ
9xdS1WlDSRrhOfAPSTmaKzU0P8zkHMfBkesQs0oj7Ejh3/fKY9qZtDF7fb52eUhfHNbqtwmriOcq
N/XDPGbZy6zBMHW7QT2PMwjVYRliX2Of/Oh4Ixtitcq3UMcThBRVGDhK1zBnqXk+1OpVnsceRD0t
PFkWvZqBmGdFS4tOoF/gkak0pzvF9Q6TTpZP28ElwBGdvUGwKrdpOYYAkBdmRKKdPhVxHB2qOmar
L2F2eqkCcoWXtp6b+dHT63WcG69zWDiH3tbcDZqM8VgCEg7INse82HkhuX7qdWb0GHeSLANUVWcr
FDCM+6Vh1TM6bEjp0tEepOm7QAVh3nRl4dfLEn2wG3mJpygMWCSsk0wcUkCIsqKkL0LOsu5AEV0i
LXpWsxlpg9FsTFHeWBW2fioiZdvZ0QLrsTcOcaw6ATlPRw3b8z7pTM9X49jcZnlpBoOuh7jDafqp
aqHaFIgVwmq4WRqYy4KU6xUkjoWkFCtIMyoYPfKuUoNDeph5d5ReiW+TkRSQItG067bVARM7o9jX
cXvo9fQTokqGWzn9CWFnxJlG4hBH9dJJ7HQcEJDZsJPNVAJTtF1qktCkEP86WcOWVFhY2EsvXocq
Ss9TZ74rGYGwtcpmrbAgAI8lG5c0urMN56ZwIgMf5bTVh/xRT8fOO4FvTlaNnl8PtXapdPdRjVoH
332yF4q6nXREEE7NYFTwOracQ+SDGZ3b1gK4XBbH1tDeLavqsc+Pd0Oc0TYQQLvOVOYTRaFeO5EH
Z7PaDoZ1SifvLEZ1G2s9gOs80tZkiF/mMN2g+7ouloSSvCs2nin5utZ8tmbhi0x5cEnt8pfJPALL
4Ss9+gG9YQ5AjefF7hto8G1lzQ+1R2bJFAoGI5JgB8x8Lq7qzGJcoht2/2a6IHyQzjXxJqwm9kSl
4K4okuykIb6EqDvnFQmtoeE7WjOdIlqc/b8Dwa8DQQ01/F8fxru+IOj2S/fHiaD8vt+OYyTLSBoR
FwOWBW/DCuK34xhxNOERFsW5YZLyhBry96GgiQqR69ggvwI0PvPC/1mRmCrhTpKV/7tQ8h8MBX9W
QJvMAV3PczUstcxVfo4EoSEeIWVa4wUUTpSu0/m2ar/JYf9Ssv8tBur3E5+/AmwuUizPhskB59/6
SWatQQ1M06wVF2MkLKldmVZLPEps6KVxidWmZiFQ2VN2s3ytHmKGDM+sDKgpXNWa15C+J/3AgGXd
UnvU8XRKqEVsgypfFie9rFLm/BJSteSVsp+pYhSqmU4lKWamvllknZO0u3BmmhFTATHl1XyLmkgR
47VCjZTP2atCzdQLsScv9plZCfv9JL6OujZw9XzvyFJLo+ZC7LAVsgjLWWFsE1mYKSDvVx21Gt1E
tu6p3hx3Vxvtmj/vObLVvSorPEMTh5qSL2+9GMymCXK1eA9lVegWgoeBrBRrSkZB6RjKGtItJWpx
pPcQFJgSPmXIilMzy/tBiw6hrj80sibVKU4zWaXG8/jWUrbOsn6tU3EuZUXr1Q4ga1nlhlVzx4Qb
wqhZdUFEKVzImrhrjRu6jIilV/+spMZmkfUzCz1SlfXuI5W1tZswHnMot0vKbkfW30JW4rmsyW0V
fAhiIo7ttC+DRKAb53ECVUssTxplvcHHuaoo9K2RYWWh5/dj4RG0QDOgyK5A53HhaV16lXejtgYw
e2gVQAmqVjOOoa2IujfsVxuPZiMpRn1tTjWSjbx8CmVHEtYuCjSalEZ2Kx1tC7CuN1z2NLY0NL1j
vrmyw3HT5MOVPU/EcQm/wruHHvxhJuMaPtp7UqMaRFC+i2XnpE3uuqKVGmipNNlbNZLBRK7XHo4L
EkEasMSV6GEjHdam7M5MRQXZRMMGMvNhkB2cQisXGzHzY5q7aOpqZOlRvy5DwKgm/IWBldgi1zWe
m97pTJeAjaKR8IanTGWFn8z2R5p6nywtk+GBBAwZEw8qxvDZuSzoWKOUGpxz5SGa67vStHiuZtD6
csfx4yoeuVinT0OaSzxITerjyPvBFPsls8N75PrsutLyHQuCvRka9SGLcoQL5BFOipsATSUmwVE+
OsV9Ie8bWmbG2NaQgIuJsf5C1rVd6UFnzNle6DKmaDQbSFuCd8Mj76y+t6IRgIqdcZV7efaQYf/Y
W8uUXhj43Ne1zlJKvBego6lrciI9xRetq9GpoloL+g55XTZ2x54B2ZNpdn5uh/m6tR9LL5i2czyn
p6JCwKIot02fenL1CO/OD5lc+AOoDcWZGER7BFO0OQg8NF7ryBBEQBlns7UKlrM4pojUFtybMrny
qq2c59i13hOVMSHHWo1MVtsUoEqGeD6y337Fh3Ucu4RY0P4lIlJEnjm3TakFqdBuK83Yj5pyS/S1
byvRo54B0HPZV2jq0RujC7lBl7mIz0vLjgLFa+jNX1Bv0NY5qZ8BXQxIdGbCRuBI23QAZK1NI4Yr
x6mCps5YggCOpmgcKRjR7aSugnhTuZ675rFIvCwI9fadOnaj19OT0r5bPVfiYDsbwyRKfh2WIxgf
LxzZaqf9rCiBOszOoxMN07au6eHTiExTyxWduMoM47moTPIylzpwhjJSmZJybq2yyhQzRddibLu5
aoihYFHrGsVjBlap6cbnccwf21p5ARFt3Ki9tVx44NWbJq9fa13bx43xZQrd63rBe5p7kU+YOIBC
RIB+Ug/Y5tI82RRL4d0zBpzPURHfMUT6jPxYWY8ZxLwG5Qjb5450KopwpjXxS6nzKY7xPdbw1PcM
5dAP7XOvVQu6Q4I0Qpk4Jvj9CCnn2bP2Ms6AXsltv+3Fcq10rnJvp2g459kbg6ip0NU0ZvsUem3v
m51T7LibXb/OO9+0B+hqGisOpGrV2iBDZTuWasz6V3gk2iHhRZNn7cbc0yTA/2Jl3W1rxlKtsk0H
ubFWwrekYpS02No9u/fnRpvuIqux96QBPleSfgmAJrz6rha5fHu8/of08EvFALz93/+L4uG7Nuvr
Q5cQNtZBNuIHx5Kqje/bLDvvhe7qdX+pXII9tevUvbf5rS3kA8BB/vtr/VhFyNdC+mFrNJ0GShDt
Z5Ng21ZTp4/teHHDIMwe6xmK1uP/30vIX+E7v+qY13k+9vl4EdyYM0T7ePhkirv/hxfxUJ7QlVJj
yarr+xdp4yyjwxrHi9Hc1xgIlStl+FYr/2U19MePhbfqu5f4qfvtkHRGMEjHi+neFTVbyy6gCimd
13T+m1di1fzTBfDjK8nf5Lt3jIASq7BJ7b3UWFe1Eu26fugLlFTBUBwWvKT//b2Tv/iPRR6tPgMH
01DZYrMs+PHluigFJdppI5KIZ61jlm3fR/FxLv4VH/yPa5Jt/F/3GpCS/7N6b8rX5kvyZwMgKa/6
tePQzF+4FfFCeS6tBWqD3zsOGQXGDpwgClDKXOVU4r8OgCy+AscQfgtLItuRncCvoiyDUAxECBBe
bO5vmx/4DzoOML0/XCmk0jIUNyyaAdoa5k1fZQrfXZgeERYCr1d8pWSu7lvSDOgus7End7T+NHz1
CnZ11+Bw4T5nmp1JP2E41m36MKdZGnhfHYfIXEy/rEXEEpFYseGGDR/+xF4zpVkxmuqlp6DJh5SC
tP5mazTsBY9j5ki/I85KAjO33VcnpNsx926sToZzK5wN5CAs6X2BrPXB5MLW1znen7uYbRS45DSN
N0KwAa66vN3NMcVqbvXOY6kNqKPntBseRQHdbGUgredpVSJ2X2PyKtcZAuGLkQ2CkW2dvjAKt3Yw
ADEfaUMeXiPoiBBfUKpSLDB9R5y9sCh2Eztce5VOspNarAsj7c+q4hRXjl0OtwWZaAFGCBKFEqck
9x63EevA2v2ko/ZY1l7nVctqaHpo6Y6bAHJLsf7fKmyjlvXSFckux+T0VugKWTWRObflelZrC05h
j4ae4Ztp9GiR3MHotjyxMKv5CalBL12CjirIBmhgJvFPcRngK8UKiq2TcR3S5JG6xWPB5vKfzaKJ
to7aLTdtM6SfDK9sbzyndQizsjVvlfO0vC8kEs5oxXipFN7NS6lEgxpErYq4Owqrvt7HOq6Pa3qR
9CXLW/1+8nqSRNmiMZzhgZzkO9VAMrtSXJwW+1pr0ulQOIk5vtujG717wDu3fUeuap7EVb0i/gAz
ldJS2SiN42du0j7HlDsNdjgoofbS/asi/XZyaTxZ/vrkOlXtf/5PGb3n7+2fDEr41t+OLQzhyDVN
0wAT+qM3VHN/8YghtMC/2wZTCmYovx5b5i9MMKSH20N5iPL9u2NL/8VhsIHdFM+EQwLPPzq2fixx
sIrL4B2mGHCuWBE76k+lQeo6LQseL73qi2CxHPiQW7N++u6N+ZOSjfrrp6NRvopBnggILVNn/vfT
M7sOE+J6Fyu96qo0yclZU8t45aHVXIeGngWp0TbratY1grbdEtNDnK7zJTwOiORvVRHf5AnpG1ac
nEZVJS5eUywiPtBkwXmHhhXBZNCLfT/E52Rg19NrJ3UZb9pZP9dLdZwa4zppooOaZtwUA8t4Yv28
jSOj5shunVeJ7n0hhHikI2SUmXbkWqMz/EhAmuLcZIq6IuPVI7GB758IVVzN2Evtw6gs8JrGyfE7
ebul8sYjmYV7MOtKumvdfAzlzenklvFJL3C3KjxAtomaxbBT+5qzFsBwBpBRo2B3OYoBrst7HEo1
9/tgAKyd23naOvIomGw3jledIQz3cdFrm1GNnm8bZbGtrcZkfqnXgm2HU7OWKro5XKk8j67J9lbO
/Hzhyzy4THZ8lVJu3YqMOrvH9eSBOfcbjtCdkZvZoZ9q273weq3xyZojpz3qczVUPnMV1DKNNV1i
DQlvHc0eUWi2c2AqEL3waDSfBicm0SWflzuzK3sTPUyGqIlidFx2bjyENrvM1nuoKhfbbmmKQIE1
6utiitd5j820jmDzDbrFqrvv0QLxnp9QTbSvbRxBSUY+P6M3W3l1sldozwNHw2ocQWq/ZcRzSNU5
D7xK824jspZgtuPRdGdET5Uo8HZkpj9UAEbq5MktLOQlSzH4dp0sQcPgGcUITfOUT8nBJmQocDpC
FGFVausSwcoVEhHsJnPdbm1j2I1myTBi0tsbyLZa4CrFOSnzM24tGGJNcmNW1t6Ne8Bidr6jycn8
yFAvrTfewckeHmhR3Q/mYquWPGh7nOyPKul9q2j9LKy1e1XpN5HdAV+vssBjC525wI0nN1oBvP3S
tt072K73OZ0fa1imjTEcPEIHOECYfy1bc1LPszsQh8gCyNJPiywZmuEzgZfnulA2+agFRoOtsZ/f
0PGuouotVHvNH+3c2E4OISSZNbxYdvI5X2wzQI7QHroBNYsyLie90PdGpJ9t0ZMNl70IPr62M3If
Fi2RdPaGcJldry4vU9gGUUH6U63WKwOj6EprS3WfWqiPtTn2KdUu/I23wMDh9CZL5AM9xPA1qMk5
Nm0sLqF+0+VlewZ4eoz0iYtZBgrWlERZ6HCVFfPR4yZSIbLqEI8nLKauME7mVD0pbGEy/Fa9Ht1Q
Rp1AMawHsiCKfriJveSQ6yLQQTAEUTStEDLCeIxH8K1NVa2jRr3KlOxTlWmfBEGBSZsdq5yEhF67
WUbNz3HHVSCqLRORRV7Px8VxdmDloFXi9awh61Jd+F5DAGo8oRBbRrSFywz6uCwPuJW/FHPIgzwu
c3+OSOOxJiPb1p7YglNWbpdZqTf//eRlHfLHkxeCwNeRO4tO/vlj+xLPWtHOdo71pc70YMi9mRnI
nPlk3uenrjBG3xmwblZxsS/E8q6Jur2p60y9dxcXzes03fYyVHQK/cxzntSp29ax/VGyofKFYOBH
8BV16gwlZ+GazsMEi6DVrgk7YL9YD6Aw3G6Hv+oz5Vi/TtL2UXfiOmDwQE6RyhQwL9djzQh8r4kM
pCCYVkghW53EpFxHnVo4X+a8uGP+fOjxHi5tfqh7hOCiOpGg4G27ccZOMyc7fSIVtCXnyQ7x5cRm
uo14+vmt2t6ac49mI7YPakw+ITNdlVk0+pq0mR5IGzBXnt3XXAv6tZkQY1/b0DimJDsPAmUuOI5s
tLYWgzI/yet9WJKO1bt4PFHDbNigBlYkTnmEzdMp9eskH495X+x4rjGSFlSj1dxukNhcZ2l+y5QB
HGI55L5dKlD2hUpGbHNBdTZAQfLKVdOkD+Zs1ugHk1fy/NDxcDFNXKBusyBIqqXNdasJlM2m9oKM
wy8MYp48czdyDhlt9aXynJNaY0wjvONLCIKafC6pycJskOUFCfZCnmXdKXHsZ13NN6o6o/9V2E4X
urZO2zkLzDi6NhaQI1hJJMUAARxO2f6xQlt2TBAhnvNqLP6mrZci7d/77K+FiM3MEFIGxml6vJ9K
hBRjx9QMBY5T8iCM9NDo/d908pRM370CP9KgNTMkylMSuFztp3UNXVJpuV4UXeV2CkT9OumTXSJu
mzHlSsjXiV1vvDT4mxvwj4zHn15V/t3fdYW9yDphGopyJoL4jlgXOOX8H56Kz5FJ7RGzRUEJaJEs
YuyHHrrGMOHZyEuw7CoSo3XZLM+V4pxYcKtrRv6b3Bu1z25sOn6hpg+2W4xo0uajk5svJK1OBy1n
e8rVVFZBvzhl4AoFBo1gIIk4bt73k2N8rsq026BbNYIkSd5yrtWgVu3Y5wSe/c611fXQe3dEYCxb
zsOHPhr0fRGx1ULdjrV+x0Ppvm2ajd2CWtatdGeosRKk7N9X+ViWiM56dV1jewbwI6k/yXSrxyWY
kYTIRSOyUcczgm6Hj7pF8tqKZN+Yym4ezftpYTquZgerw33XSJdJEhqI2jtE+XZv7bMlPSLc9ss5
1H0jV5l1hxmnrPo0qKiSk7QgGGfalg1g+HDhClYh1EdA+Q3hV2nhrgS0HL/Jw7OQoaaWs9Mqspjd
aLqLbWy/+Jju+469uWF06npBhqwIGCBaX73aUX1u1OKmFhikuqnDmXgYLAyLg2XsnJJwE6FpD+Uc
76YQvzzN6ZWweUZC+Ng3jfmOjoNcahn1YZnbSJgnZ/w7jNjXvebvd9Efr3FZiH93tZHv6gw6uuhz
eioveBM29bF+HLckN+zsk8ujZ/2mjyvroJ3LT+PfsPe+Yuf/+OIywsHWwUJ78gb87sU1EbtlhlLu
LHxrVZ70tdj0WJyOypOzUQP14VpZn56GIGV6/cr/5FfzSV0dkk14ZSCe+5vf5scH37d3wiC7ynIN
mzbqZ6DarI6FqWlpfBWrF0xtgDGemmH33+/uH8+sP76GnAh99wcvTYFQJM5jHq7vUbPz5pv//vP/
9G9wVMwyGA4ZL/30aWJrWRQSDnl4K5eaEMXGoub8dkL9qzjT+DT+un2nmnlvktf8T3p3vu+33h0l
A6YmFQXZV68nF8CvIgfN/kWjr3HYQhDFwvTt994dZQQyNBXVAd8I0PuH3h3NFBgmHkbYRP8h1+lP
qjvMTjwzZG+NGdTzfnq4UEk15aTU83kyYA1ttEx1nbNwCOj+UIkGs+hCO7VjrWjAhVl2xGVlY8me
PmV1YpvZbaij4ndJZtw12uDMKxRcb5GKtbzywtdGy+6yMCsuMyYjdMi2vmEsG9FoqO25su2PWLis
+sj5YQzfJhsgHCRit0kTdPZI/1po1mnBMb1XyrxDZwCthLqKtIJ1mkbNlaBeZY3lnSDoZEfSDkuf
Mdm8aSzW6F1N+kReqGJdeBoTU/hVV+YwHzIrOblVR2Z3kmebTPHwdmNzdVnq2whZMxJyJ8+BcdKx
/6tZLq+1zCHcfWIVx+ixxIqkvDCduxb2VB6cuL/XbPKHwgKnPkQAsY68WblqUvsNHRa0t8rRECul
H0uafsL2j07JHLSClAonPAkznR+gXYToa2MoowYK0jh976JFf2HfDgkI/f5msPPad9qcSgofI4Wd
V3pHIke1wB5V5WCKST1ZrMK2SayjnmaieWoc58YlZu2OJfR+jOd7RVjlqjJLc6u61Y1jgy3xwqZc
o/+z2YsjH1mY/q5MdcQtO2fKSYt7Uk7mJraIc4hALqlGduxCBIjbqPjKAlyaxm6uYz67QYfCdZ6J
9gDwFGlhBBSbn+StsTN018L14ABy3CvWXnSzfq+QvpTsEY0th2YoveuEaNJ6VS0uaASPNyG89qAk
QCnIvI9B87KTDjCKMArGAgMLQv/rTfvv6WVSnf716XUXv7bd6x/PLvldv55deNgN2GogduUB5tjf
rUt0g2RvF287X6EUlg/y3wVa+IEs1ly2a6ouJ8tv6xIEWjqLF4wAcor5FXr5D9Yl1tfoi9+rBelh
Z+cCGITFi6Ej2v3p4cYQUTUE68+LmjuYUcyeHBVzfBwcDHtdrVwLJFSEBCbnLNenFbPCXT3z9MOW
3frMUN6rPjlDyLg3MxST5Cgj0TQ4OdpowWlp7Ny839hdGBSTthtH/llgmaJJ8ilfXloLJB1+iZVB
tmA71a+IFs5z1787uMlGzwg6hbi8WRPnejLfWDttGXgBtmvBgClJ0e9S0ezwPhzbNAoARW0WYCkK
aUIr9LwnW68enHG4GnWCqObGTLb4+F7zRt3oqvocq4O1cUKAd4LQyW1DphKB5oRUmyCZrIn8QjcU
R6zcO89IgyxO78IBd95E8xUMYropNZNhkCs2ow2HhxpbPRqOTpabOxLiV2JGUgrn2jPyL3oSi+2s
o2pNMA4ACQnvm7z6yEU/+WoJcgvuxzljaOInEVPYchD5OhaOtUZqMnN8uAHQz0NsdeQGj/lDZzXK
oahLv+cQihvOshLFMdshHglWd/ZK/b6O+63eTTcJyW50Hwoa+2Lcqov7oSlIdTCP30wxOn3T9V7S
VLsFP6+QKk00UJ8bxXq2jfulSF6ysoZCJDEsLjMBIwH/opGWXqsfLSCQXYq41NeTfg7i1mbJFBo3
fRc/xSm/fzQzrl0i+m5bmLve5tknSsMMirZ/r9JsT7CMP2KiwujOgdxpTCUx9qORaWHF04BXZfwM
Y+h2asxpXbkCH6rRk5aMC6guIQp05GH5Y8r35UbHwVZk5rao+mvGmk9k8PK5txgeNSQ3aiFetD45
dWlyahKPqWWkuWsLm5Rv6iQxecyn14WCsS3tmAAZ1VUZeyeijLDRQzBZQVi4UtPqpU5rnl05z8M+
YdSFk9Qe+UUJsyGVIsfypqkXXUf4Y0FcIc392ET9vi3FQ68M26otz3FVbYDMeIzNcPdH7eAFpj3K
hypPPlcdnqWTph10BCvTlojh2U9LbMClLaPr+Ktm51LVI1M1b7hzs3zTqYcaNvJwDpVkM6vePprK
a80qL/pALqGFDKW3PcB9+P1z2Hh93xA3Rmq1vhDyZ6dg6ZQiCfEt4VyuMcnALMw3hNYw47DJDBxN
DMSFOnzE2USyeWEQgyjkrZq1n6eUEOTKRUU+9YTmkY4tB/NbCKv7WCN9cwnNomGSYyDkwWC4VZQp
CpiyAa4im37jKa6BCklnuhJ3B1hW6aYYzC+91WHZirMvlTE8s199W5wRE2NLARAZ42XuU7GG2Tqs
587uwMvrZGxbfak3Rz3Ku6PMcPclP26VTKjAVmXR7a2ySO2N0QvbehjUzMWCaDbatjeZxJOGVPKc
dqZmCdweo2jgloqJ82rQDZA6LtP6VWNYS3KFs33u7zy10Lq70WsU49hPPREZVpnHzw2x48M104Ud
MEPmWykD8EraNxNp5KzV5RVAxW0rLZ5sNA4mxqtNI+2frmIfLWdKfAu2CPmM9ltdVQTddzYgSfyj
mWKT/TjgidbQ7B0MaTOFAYQTSFpPZ6v6JELzNU4bnVEBpkljqT86aVg14koFFUhHr0o7a9ORvjvj
cJ0F4daJBygf76tZNjdK2B/BXXwakvFjUQhonaR/VWO8GwkLUZwxHeJ5b9HC4c8Wr0lW3eJoIpOW
HVBAo8ScsCORVE+vQvy5Sjq/5LH+sUjjbhtZH9lQPLI49ZXloEt3r2k1QRg1t9nE0aPGTPonf8qP
eeyc1SwHiIxFmJwXhI3SMyzdwywGGDdgKLadjCBby4sCFbOxzhMT6py1sCzuz0QCHT1rkkbOVDAA
qEt8uWq3NaSDWZjCJxkLNSTJhbg/lXv4U4sVPenS/eySyumjCU19N/NGXhw9u4ddGmgmCt0pd31j
xLE6uriqi0mMgYPRWrjSUuGyCIk05zoZyzOEy4LIIkquMoHQ1e6ivnu1vXEOqM/uZmnlZtOeB2BA
xNpK+4dQGr77sXyq0M6nSsbviCe8l+Zw7jqTa2DBMC6t4w0eciz7DxzQG1XkJ4RmMDgjY4do9aEe
kq2SYEMf8KNDX7wMrrj1rOpzIg3rbKGuTLU7EpgYrofSDLfhojUotJp9pAw8EqT1Xbe8dIUuCVfW
TPhThI4PVde2tZCuJmZLTm9/oRLZlHr3SCexQ/QG81Xa7efenIJMWvBVzcVSwEZgq0R81ZFWfTsj
LlRRtC2eQnff8YauW7KfVSHNrXj9+xKpcG17BwcKALnKakDE7jmTgAB4fxHiO+2Yl569nkcWDTCV
82Ok6RdbIgaUlkqX1V6xXySAgIgxDQ+ZhBI4xt40kwtbn0cFqttGKXEBcshxwKGgXgqdW8JyL3pD
AhmDyYLgu+mtrKInkkqugcO+kTv4NtnqRgBNqCQ8IRK23+HqCAvxrFZgzMzmbgS3QIIdCmz4C2oe
H3WADFGRQ9/U3z0K8ghgwyLJDV6nop6Vh7hibTjr4/W/Zfc3ZwS9+l+X3edXlOR/rLrlFO63qlv/
BS0R+35GThLqzJd+nRjIqpsTXOe48FAPSeXir9t+8NE6KiWKcRWhkmowTPhVpISyCRODiQyAsTW3
jPZPREr61yH3D1W3zIxn8qCb8rfgB/44snIRFICMVJdro4gfayPvIO/MIIMFzzBtKTZubW81OInW
rDCJ9h6RhUYrtadGxM96n7rm2ai6fZGmARLX8P+ydyZbcSPt1r6Vf525aqlvBmeSPSRJYwwGJlrY
hlDfhaSQdPX/E/ijyuXPVWd57mGZSpyGVMTb7P1suQkC8L/blBXaXVFHFsWweSOMqjvrOcDglZJN
/Nkm+5hr0XLG5EjOXjmhKTexJ1H3Hwi7TrflkA03ZoXfirjWW5Xrgew4X0UelETC4TZNQq3TTvXH
eTbu0bTeYWsfVqZNaI3ZqTPfmK+SNDy38ASAdP3SAYb28kqtRGZ+aDKbg8S4t0dZbZLe0ZlkerXT
YWqIq9e5WziHyCyM3UBs7I6RuGdPV31nPWNPn5BxOcOGxv1rq8pl05vsKaMp3AqzBwlZJ9YuD/wg
JpDXnc8UTvM1MYpHawiunJxcbCs5LkOwNi1oJGOZsAi1x2M3Np8SM3o03ACbROHc5LXckjF3n6cL
XOlsues7opgHq7m0Ym2Rrl9t0ABEw3+IhmZEGFBeYIk+s8r5PpfD0ajHV7Pz5o1pzERJEn2zWlKg
LoaR9yunyA+tNBDVJ/4aTKC9iW3G0B6z2it7bub1ggRhPfYkvSY19jsN06qBrACTnY0tYZrLuiIU
b+2bwZdkFueVY817BGUwKCbW46F9FvnOgRrvKi6YSDgsEKCsdG1D/egP5b73MBeswHCeYQtcS+md
+olS1qnpWJJq3Llm/DlHQ5wXExxnGpOsmp6FTz68rhvrImLjSuegMBfjrDGezQ47D7GNDvMkNogy
emE6FZ7Q1hBobkJztofEvyiUg26/6m4Tyf7e7sv6aNmCmzOIss3SDQfAAQvi+8LdFmOwCcvS4taA
tlPw+b8cUJsEhnuGr/AeFc7BHOx7NVJjiUSam17aFgNrO7toKroLQQu+TTx0p/EIirqaoI9iaYkh
+VvmZTM59g02k+CQcjFFLsGXSpyXuYzBmtnPjBa9DWOx9CqAAUEb6O7msAQfIBWb8rRYe6r6PEtC
OseUOwFkWoSwXiT8PrNiLnBA46mYyv13h9pP9Do/jJ09IHacNh4DZx9VEFKjv58RjTNBSDMi66oo
73L3KxCN/3Pb95O/gqxDZJfgpCx8VD80/zPyRklJ7V5R1A/59dx8rKJv+Ua/R0NaJvbPd9QZhJGf
XFG85v2KsjwEaZj2kKS9jXLYtL5fUQjSdGwJt9Q3szTz5PcrKmAS7kY2p5nzRvPiS+9XlPcHl0pA
t4DTTutyfxFu+PdoHg+JesRVqG9K3gW8ox82wQ75npYYAVyVuY9+BzjAZqpL/E038zcRZvpNkukm
o4lAk1BdtQUBZXP5UBmBXHLnFFsw0RjtfEVKLZyTVTgor/NWFqAwQqe8InH2Fn5YTeF1i1QCoY4z
xApGHNXV09L5g3sdDEPUVZvAbEb3OHmekmB6aDnlM5KSjpO69+NAoi1ibR0xu4IBv89kE3H8mQk9
cQekRSn3DurIGhVmsWoHFFErN8+wu7VqPALkmnckDJBCWuTDB8vP1Wez8rzmDKaR+Dy63bQrpFle
pH5eY6+q48vM4IQYjSw5AK8sNZvBmW+swI7PYBmrU14F6tLKxn7TQdOvFTkJUHLt7jlM6fyLHogu
2hrPPku8rP/IGhXoblJ5X8KliPZjUihcaTAT6iXdF4brfAgXs9hOOm6gGExmLqGFisDrexj2vkl0
kqnDz+DG4NG2YL9KWVoKS6DzGa1sf2hjk7vVQhO9iZCZPTlLs1wny4IDO7cH+3OOb+k4tFKczejN
HhxPOhvMCyCxybrcLGE5XA1D/oUfaXXGnMC6tWRqsgqGY3RyVRoBsKmTS4LRBfI0L730Uin3UVR0
22yJwkumGt6BcRUumRlWTgIp8QtjkOLCU7G8Hxja7GSUVWtsefaJoWAB/z+ROYR8rnMGOP4NJjVj
x1hcXjsp62Pwt/URgvZ4lDI/Z0i0bGfwarvWm6dX5SbFIWxKcT7Vqct7ywLjlMY+9LRUFjUqEOYe
fc90v53Dat8IEP3gv5bV5LFLJjU5is+LzvDvsdp9qs3EvrAR/F7x9uOdkZfuSdY2ZKauM6/mJZnO
i1BlZyIFvlyjQcEC1swfki5Um1GqdjunA7CQcYl3spVS/B66/0fx+69D9yM+hZ+crN+N3HX2k4W0
GxMAg22CAf86WYmBsSBBsa0zWdX5Aefx+8nK8flmVCZMkLH73xwKLicr6TFmoG9jj2CoXyn+A97Z
dwIYJu6AG+lIYCRSrVn0GX+/1wOrEVSiC7HxMmDeMyKKRbiG/jNo3WgfjOEz6DwFAJEpizUvgAvO
SxkOxA4EWp2evgnVkzfROuNTVBDZkClz27wJ2xvsn+qaVLdLwBPpR3jicBdhG6KGl4tkn5WgkGc6
eDNXs9g3pLBbW4FHLJ5XlT7ibXdJdpDH+LS2CG+HMzc2yszZWn1QyMcScQY2walYbNDkzuDLVO7s
akqt87JUS30rFvZeOJfjDAtnLbp9hMxrg3eACNqx9zfAK7K9kc/tVrWxtR9zqjaFmWJv5n53D4lj
sA55NPvL1pED6fSzHS3TthjgWLFQjQ2Yp25jkOXQLP5pmGVSbxq79m9T3+9wVwTERPmwp5BmJXl/
S5ZiF219tymuJpwM9r4N+O8ZLNLDolwmH00rclg9U1IHZwS3OObvrf5/7ET/ii64Rlr3LP/7IdXL
p/fyhydRFxh06aBkfkCZWn8gPGMxhpeIhly34e97MRP+aYSM3Q28d6bBe/kTwaUJmFd5b0FNyL1+
5SFFJ/DjU+qyrUH5z6GAQIAK+e9PKeK7qnJY1V55herzA50cQtqwzU8ZfmFXP0rJ8immgbDbvtgr
8P8IUCV5YnBAa7GP4gIXcT7ddX3DsLTubvyxpvMwj0Ms1n45kT8jN8twIDjnsRZY7sUuCcWVlUXi
VKcSjJynn3iLjIpc+oji5+VroT+zs4ZYuXH4GLiACkLHQEKm+selLg84ucXG8cbrVPXOtqWV4uvm
cRmJbaEhPbFqBNYXFPeVMaDB78yXtJGvarG/hsir6PqxYnf2dFuGk1rnk/tIUMcnBtz+Cl07s3UG
0uMSXVb+PB8NdAu+hWiRaS7XZ5xt8HfxP8by1YsHl/+RCcBoUUrQ7GZ2mq6AD9qbMkH3vNTOFzN/
8OZrNkcLGUhrHMjdASh2QvgToGrlqNlde7k5lauKeXC/aSDInnWSZc+zlbr4gtKpK8kUGYHeT1V+
oOFtt0w5oLe5U7M1404x/o6mLdAY1JUzbnLHZvPNvrFDeClUfwOnn7nGUnQ3I/bZPT19Cw2h4Eel
0aWyY8qetBlwsConJ65lIrh09grJNY78zg2JyCAYpB8SD2N9XTLdjb29H6j5hs+mC0AyMzeZGtdJ
7dfnUbFgMsvd9BSTmLdR0SBB1cATmDrByesWDIRbFoVIw5x4b+XDqx3VISJfOI9tHouD5RufRySB
kG4idLsjg0+LqmSVgr8/wPJ4iYzaWw2Uutuq4aPaRe5ZYYIKQDZRXIeOyLeov328B3O6jSw0DG7h
CKp26e3DpH1hPxvtPe3FaDujuAZJK875yREJGoPCD9nbsM9JzUNs6rWnaZiriuE2VWafdxsrYC9X
dkb1uZkr+PoyRU3oUfVihO6Oiqn5UaiByyABnt9AJdk3vV+w6QT9F0vvNWWUt3LnhPWk6+xJ/4Ht
ZyKL3GdRQwRIGLqfTYgzqyQuAVGWAP1Eqet66JJsFLDH8y4rn5nFUHzmmRPnXWabB7XkVb9NkECb
VM/htItGr8teC2ZpB3xj9k2tN0a4cSSajMXsjk5DuJg5fSwMS2wIX0Q950Q58RPt/WzAsDCXWIOV
VL2VCcOzUT4y8P5U1GwRIWirbVJyV40loeGZCeAimLN7q6qvs1amT3O0IJJPRHIxD2GImrdHAjnc
oDgJgWEW6LWroD0DQ/FCEsfTYMY7JcJkPUXGq8p6yagufXSM7Lxwi4cJXc/ekQbLz7LTh0h04kdx
NiD1qHlOjYHPRV+GH7EjXLcWSYUUIaSN1ZeB6X6x/ejTWBjTBloPDLYuPAu77kBE9K1cojtU5fHW
7Ev85QMYiWxOEX6m896xF/AtFWSRsKyOigyGLkw+COZdq0BQqLM3bo8ey64pg36rKvuQ1sl5HuCo
c9TJgGGvZQEhT0oKUZ4P24qxSsWWKko/Z2FVPfl5nx2EM6bomgaHqUzknvsQb1jHsxRzvfJzJNHp
liYUEN9pr2tl3PpSqn2GbOZcVAOPMtP6bU6OJG/J6HFx9/6umTiT4lqJm5K6cEW5YtwM+uFZTIgs
nf5Le11nZXEa7U0UsB8K0TWb0JYjE51u2MuM1bbhTdG+ca15u2RJyKPNMseMg3k/DXO2jSUQ3DQo
XayjGaFTnfcqZ7GA7lzO5j67Mqv2iK/ywhumcuso0947yim2jtkQJ+tqxRb++n3BGmNDFk19sP3J
02rVVZoUC0rV1N7bzsRRn/Fuk5Kn1laY+gF1Yk9MdLxYwyll6npKVfxLvW709GRNrAYW5HsjQzaW
lUzvWtrKNd02zI1A/UfW/XvOo2U5/zznueqecR/+d6mjX/Ve6tCPuKhG2WwgIEWJ+PdJD5pFLHlU
Gp7nao3iez/iYEpElIPWB5E8Zj2+9F7qOMRY+CgNmS5g4mPe8yulDhCFH0odPUri+zNximzXsULq
re/1s5Ak5lQFZnzqIotaZSnyaG0NUXw0ptY8VoHkoDfMeXhys+Q8jedHGAPkdxOE6ozYEwzlKTIB
k4JdYOuYGcV522ynjKilNVV3fS+6ESsHMk1CViudt2q8Ra8CduueXbwqL7T0MTlNOqDVkyNie/Yc
FfJItIxp1m4xQttEE3TuuGu7LPLPZ+3+i7AByjdDYJ42qE0y7ROcuu7VQEXO4gEPIWSika1C9DVm
m08Fxe1mOFm0K7T7kGcU3T+GxGJAh4hBUXrmacGwaDkLSXkR3hHjwiWyyMLYOKXxgmgE5cRi4Xqs
5ThsbIzFqA/9vdkY19nYZh+aODxS7mVrX/sniY63LioJ0sQ2VL6d/SwD/WdQKLXD1dTLKyMHy6SE
3ua7gKTqmitEMDFcFX7PaDl15u41d/rbtDBv0cCWHlCQvro22nw5OW6+K9tmx4IyeSB3aR0QXkc5
Wp5GtxAM9pPXQDKjt5uA86IOYVkPm2h2ylvD99SuCTUQp13sTdeV+6rVfk2yQwHXESm4BP7Gtqrk
aiQdDm8GwGWmQrt+MhAAKA+fDkHy5txB0B/A+NmgQVPjZC0OKksLOc/QuHeScVOQ5EDy4LXvzIKI
0oJWFWNmR4JQ0DxSJHJNWUaU6lKCC0XOXfZrE3RtNcHJ4vlofC1EAf4PNTxGCGXmkQQSaybNzimU
/Yx1gpC/Ocf4+vbY/z7/LI6Lfz7/jmklftLp6Rf9efxFf+hVLGMXDAn/NY7Bi2yygOCkQ+H91+nn
/6HNQUAhaCr8t5HLn6efnnMzoAls1OABKpNfOv0CjtEfpjGaVcrCFzGlz+pXT2u+Mw+gWuvnvAm8
ywQJTHdnR5xjpGDNpQWO3hgC6JnSTk8yzJ2HBo4cWTuquDGRy7ArLkpCCaYenDfHp7+CRivbs7Lu
FjiVsBtXA4BvZytlfM6Nj3gKvceS39Sk7zaqpH1KniZl92sO6MvZR23nVkT2LoiCVigpPlN0U+/r
YF807slqNol6IPMXq1K+Lu2cIHDygBMrfmA0S0JwDe1z3hRvycF5UcN51nHC1LyEiW4Svqu/roe5
r06uMfuQJbJD6qbxzo4LRcmHdCVGevjZzpYnMWb+uveBo1tNtZMTYpC6BJCcGQd8Zz2nbPXZdHhc
CwPuI1F1d6kwvtinpppPaJ82kxPw4ykWcFRF/BFN6E2JwiNCipYtN1bv36lRfvJDsUWFRDLN7wfx
TRTh/euDeP9S9UP3EzGyftmfj2L4B4QDm3MRzjtjFIqUP3dOzE/As1BQAHbhWfiuEnFJwbZsdMoI
IHz6y+9kEc4fTFtsHkaHUebbl35FjPxfjyLzG8vyQlxLHs+jflS/exQnEyhH11XDJUPEtWaLCkkR
HJbfTup/ZCTBW/rvv8izkcmxWcWaZP6ovrCKfmz9zG0uoYlFd3nS0kqVdP445NGTdGvnzTnPY7vc
ZnaOtFUb62E0iMemzsJzWvboaAUlmtZvXnxc+c6bP99/8+qTtolvf2R3EV6ruB3HXWbVON9duhuf
nMIrmHLS2qZNA+gOYvswrkNDQIdJZQylO5+jrQd1lQys6otXuOoy0BNMd0AAxgOZF+QQx8R7FeOw
MgpZw95LVe1cmaPl5RdjkV11fa5WJflccL2vSQ198WTztWrFLpbmx4AU64q0P8/w672NPHbF7Gcb
ufEuKhFplmfxPLcbJy/TjewwW8/ta0KvtzTupWU3r4Mz3hYYCTSWL3skT0puIpEPJxJ6u8tWev55
kUanhnzR7bLYEumT4by6mawObpyYl1VPbViOgHJS4lLpZMITM51LWbFqX2w88yJd7H1fBXezZTwU
dgLaMEu8jqWNsIPV4EB3EJQ5W7aWTLdc/S16G8uN390BUiQT0w+r5IMUI8pniLTbaDKnB5aLMz9F
u8YtmENydI0Oea23fGj9PjxPDMv6P/BoNg/ZD9cK384zcRm5PBx8rP/+WW7nDpDCFHaXcls+o/K1
bpdbPOerdt0fqgOKNYgA23IfbKFLYwR0d87WPsTr/P/4rHs80d+9jzdvHHcoUiNP6wms8AcRATWx
GgRj8svYFucUwNM6F20Mt9FFxBjkEfqhGDGu7eOkjkPzJIIuPrf4Hfk5a8k5gKkXQ6YmK/epn+po
J22ymfq+2cXh8hR4scfohWlNvEyf2gLtrd218zrg1ttMCvSAlaBM9ZJpS/e/VxbyQuro1g1jUMXR
YUEGNNv2Hn2UtWp7JoNpxOSwrA4Za84asR3o0marlLiwY7rYvEoR4ODELkuS0HiIL9UUOftWZPlK
OuJOqPqArO80TKGpQT1sFfigBVGLrtjMbr+rc66/ibX+hYAH0ZaxtUndAnkWbkyktRXfnVbRYquo
IeD20hzLbM9BAC21I96OMfCWHGUGWq3guP6ztPrJX2nrYuQv2Ri/zR/+zh9+m8Y0Bt2YC3lJDDMV
NDLZQdSbRQYHtxxONavelfC7hsq+XXsFyQAkqszgJwbQCIZ3Uafhg5kCmx2l8co0cte07Yn1yY0Z
L1880T4RUN9uWngN31ygv4tj91/v5Nv0pfvZlaxf9X4l6z0IFjsi04Apakj+X1cy1iHkqIRbvvF6
3gyM78OB6A84aqgEUSOyQ6G2/ms4QMYlukbd93DuuFr6+AtXsq3f2ncfOe0PCmwtpKQu4K5EEfL3
j/niJGVi16l5hViFI6JcdBzxUy2+mhHPMAlvnV9dpCF3Uaoi+0I1/HlnB1e+VV0NNKiUeR+KYXjC
MrJmsDvtZZ48VJ23B97+walCrgoqShk8Er8J6kzHuweY5DxWo1z/RFOL4Y40i48kR7Y0sSgP2tbq
N+QWPoIPQRRuHz2GcKXVPi/A9K1sebBdo12XU49npuL8zwISuNKDHAA0Z9XyYIngoGhN127eX09B
Ar+husM4dxFl7QMFULnKPfvVQJ5NDXKfW4gm3QFsamTslmC5BovKPdQ2+ybKhjUekE2Y9oQHEYex
CmJ11r8RflBTC4bsQWvsOjmGGHDC+1bhoMK9R3zmAPBExe4xMxElZMo4+IoTwwLAAmNt3tfudGZb
40o1/gfVDB/mvuzuCm9+Lhoo0H4bnovE/ESw3pEAn3LdmNNJ5EwMlQiMrZdVhx51CofDcHRdeUaQ
QY29xzufra+SWauIh7s5hPk6uxyqGJaeclMydWidUxGQlR0Q50KlePfGs1OmS7gL1UEvGZrMaoT3
Ms2HTM77EPRnQ1DRIPmZCVG4GzWLzO9WedaP3SXefMZJMSmkyA+hOB37Op1Xi9uY/VkdUv33AWHH
FqHlGQ5Ps8Ng8rbZkW9bnmJs1VnWe3aPmFzvgaa3nVBp191mLlyuz4RDjkCRUzm07ZZ87y+V3i0Z
esuE8o99hd48MW/dKFZRQPBdOK3tqxbe4jEigFPvrQK9wRJe/iFYGuANTnBpJEQ49XbD9zAxxRjJ
Q8EirNIbsXEabxu9I4v0tsxtva8Z6zO8DS8okebVyGJN+CzLmLadTL1zyyXBfHoLR2aAs3VZzE1v
G7ooP7hJ9xjmXr9zDLfYeqzzZp0ExDiJqNZAfZUhgICqUDrgDINTpTeCpt4NFsK4FI/FSHYOMtAp
++qyR/TYJ9qVYGO2HH3AD1nd3IwOJjrMO3eNmzYrn51kwW4SS3S3Eqb/KW5QrHv8SWipT2TV34A9
XxNKKi+UfET+JFfxbNTwjoNFg0BIWjNJpzKIkibQAO+QkSBl6qZxNSh+41nSfhjmWpzlCVpbv7pc
uuZ8qppXmCjdunDhQO/aOe++/O71vgngqSb+rAw2z/3z/6O9Ix708rl8+d//uXjOfzJytnjNn7eK
1r+bHJnaRvpNyf7e6Gn9O5ZTOPkc5tjLuXD+ulU8FLomBz5fNN/mMe8jZxpHtIU0eazrnTcQ3i/c
KtBefrxV9LyHmys00RNgi9Vf/754cpDMm23lXeVjIY6GKNv4dpowHB7Ij8j3CowfSVEuYWGwrgXY
ujO3A6LuERdyyGO47+VsA5tVJs7zrAjNnd7ErFANwMIvrYvQY7aoMnZNuajOjSjzToGGc5KYsvNL
gcG7z3fREr542QgGAzHwhu30Qt4vkLNqUsesKnZGOCZA6bLhQz9KrNaT/1RMWP5klkRbZTH9MGtK
2GavbPGhtSqIeCzpgZhBKq/K7tAv1iXBhS9BzJ7PCa8WAi3ZNt6mIXDpWj4YImyOVVwf2yQ66xI3
PbMi9VCwowmN5La0vTuRas5nyOzHBe6J8E48Inw7c8IGyEv86ETF8wBUkgx4SvocQtheJuyQWafq
M4jowo6KPKijY+uAf887m3zk4rIF57cKMgGKzH3ukv6qX6rXnh80fpV6vdSKiyFugFvmwbqs+4MX
hTq3ZkXVQVzyUrE1trO7oHGsjRPM50tsPIRdcgM2Jl4nfUbGWAWaLpALEx9GXmHFpQeoj2uO3ZZq
H3OER0j66rXnAFMSM0su0SRfZDl265ld5aZC2+4bMMJgCuzL0L6sGs501RcJhLLuvokTF3za6wDv
6uDnfsQOmOgb4fkb5GCvxkR2IZX0VVsMSA1S2ORj0H4Mu9C4MKLiAA6PvC55iEaEAC7bBnyfwdoT
FWmgppif5mo5D4X7NUAIuc3GjF1IvTy6nGeecJ8mc7lpwXuPnfWoGsh9Xc+kvXTpyRXdFP6myzKY
D7nE6Nm5lkScpV6mkHg2Uunw4zdil9nDlzlBn4DodheM+ReIi3w96xp2IKTsfR4RxlwgdYXfX+rk
5Z7QC+yyHnnM/Pv9QznrqNHYSwlsHstuxocXBka3grTCb8oOcIK0MS/O9U98ISSaHW6Pvr1PsV4i
lECIYLAIbJLkMI/m1cLDcDOHWQBkKFQ3DXpQUFf2ueNkztoV0cpp9b2dNsZVJgThfpNZbx0+bfiy
WpIPc2smSNpJpzO4/t7Ka+v0PAynZR+MntrWKQE1M3aMlckgRPXll9AUV+0owJLb1skZ8OsFUXRD
lrrYyCK7bH0aPNv6hGJ4vu0skFiVlTnIbEoEoJALrLjDfg4akMrTwS4Nk290e4aSGFfQI/DMAvLk
c2NHxiaoTEpCNYyXpetuJ1FHq8CYTzkuhRyjNGUcXnGslyZBF/JzNxh7C0sB1o7urPJZQ7teeI5Z
FVCPwAxYAxpEf1F1TzZSPXJCqX9gMvm4mClhqyQoNmnZNTujKUrot4v5pbXsh6wsGa2A99yqToV7
og45lfLC29cl+cLSyExkcC2xdrb+/cZ+SYkUH/EC7gulLlOeqLVaICuSN5Uo/tUmXjJL4KSYgViW
cb+towI24dKhno3C9ZQEcEbCgd8QvpwGJS0QxnlXVuVN4qWQoABH4aimchTgbSnX96mXP5pjtx8M
ebvk4wh1syPKRDGZsPKTHDryfwcUAWnQEZ7YHICYvQon1ru6ethAOOaBJUnAPoVT+bGUWXGBC/W6
4icKLCONtmXN+Ea0JlKn/hNj7p1yG1RQ4ctU2xb5DOU54yp0sta0D3z3W5f+u/PUdpB/qxCkfPmZ
TJZXvdcIVvQHcyGWLxBuedS+HwZraIX+45ARB2vm72Sy5IlTUjA3BVnB5uatX32vEWhKmYfwHSkU
vvEsfqFGwLDwY43AMBp/nEdFgj+FqfTfawTQZ5PBxkVdQXuWwRZ2KY3CoHsGMTNjKez42C+5cLZz
No75vTVYhrlB3Zv2Z83CVnEa/SW/kEQwLNuMzeayzVVTwYUlSdH38HkqRDpEocbLlqg4jjjMAofJ
t0T0+s3rPUtJZk6fIrTbxDPA6U3R1LraxaaAErX1hb3gEc+VkSJps/COB28+8tImcXGL8LHE5Ra+
SdZzTOdv/vNuFK53V1hG4u8CjhnUvBw4le/2ECzH+TA5+NxflZYriTflkhAZBHOH7f2BYp5QtDhE
5KTlTtGb8gnz2Lg1CuRQUPu4nxNaOrM0yGDBafF51CqsRUup+jdVldcKF5lX8uorg6ixKnyl0nFR
CzHQDRq+xn46XRkjYi0CwtQxEY08hvpQFSl9MAAhsUIfz/pHS77sN/VXqYVgnZaEDZpLhJjAPISd
Sx2ipWOWFpH5Wk7WaGGZq5fwhRabAXV4yYPF2ztaiNYko7snMTvdmm8yNRFkNExDcZ1rERtqIEhS
yNrKtlWwXpG6idB5SbT4jf0WHwut6SmF2xKPJ4KViVqO6DVx8JdiQHmAlC5BGRCoON43WmYXlBR+
G6XFd0VvE31Zl/I80tI820iyE++ZjlYL93IUfKmW8lEzc+RreV+khX5KS/6kFv/BYMwpRxAEqgFd
YqVFgmXoPBRaNii0gBDqHIBJbWSutbyQ3EomGVpyaBV+e0PEDtolLUgMtDRxma0W87kWLOI1KHbL
m4hxZMovtbBxsoJBe8yJc9WyR6vAVIzaujz8bqzeGiu9VPrnY/N26PuXjiPyrdk6+/q///NN7qxf
9X5scjZiILBsqrM3lxVd15+tlYVmh10sTZXF2aWFNH+1Vg5mY7TElOtAw/Xp/X5sYvZyXJ82CNPB
t8P2F45N1hw/HptBgCIITZFrmyzITd7f963VaOPVb41ovqIBkzvTKKqtBBVGneaEccvAKJs8IBee
Yay9uGpoooZbJkl7L8xHVK8Lg7zE9C6mCt7EmBHkPkj33GV/jkXZQe1vsa7xayrLaWybG5vCeMXp
ZRzLWXjI5eqHaLGyteGZX6qWzz1Oh5syxUgaq7rYGM1I5pAIrsDa0iXVo2ZNBDmZ9mQ6kccFpyQF
QlCV9k3uGMXZWCogmrG3NYFoHQhfQtnjxPIMhWwVIkSpvHXa5B8ofF9U3t7WTKOaUnWbjhPgLAMi
cS6ioqAYi5orAqCfkHx/iFq+S0xpgw1cAYEZNnICBRyr6MSqcNU6dsHzON6Y+XJfDs0dY8Ej0u4n
dv77rCl5s4uy8dxmFy6WI+Yf3mlpwq8LYVRExeXtOsRdPAeAjNmst2tj6KmmfOSndvwlTxy58sKa
LEVJtmh7quzmIUtLthTQ4tZpUnZbCv3PS2pfMg3kP0A6pInAYZ05bXgtnZDxIArPedUk/H2xyfnU
kk0VsurqGhZ6wbQzI8Vij4wrK9pZ3fKyhGG69YKRzpblZtAFIR4xWrNqkM3aLTM4mqFqSFOgC1G2
+6kZitNgICVvwYOPk+1B9n2JA39r202/tmPxjFf9dQhYPQS5V216d6l3ltkXnJv2ddzNPvEs1HtN
1gAoWp7DFpm8BcuJTNPaX5OEhLLWr6GM9/dZVt8MZgm82CcbNCxItWx3+JS1U6zaD5ZP8Ib41ONF
45KSR9H1xWY0UJqFICZWofRiVPai3wTzYh6Cokq3nORkWQoK47SNaBaza6Rg7bqV/jFWIcPDVk4b
BpLP9LRi3Y/1czABHJGTwcLTiJdD3LOsRfOfb7kQ2TXZg7kyraUB+iNcJgfiNogDPlPYHAHylqee
XMw1yNgIot+CN7hFK03M7bEw1A0Sj8cqcGIMyWW49aR/Ufr2AVAmNGwRXU2VlESU2rCeEuvMFKQX
+o3F2kbFaDaL6aqejDMYIB2D1/zLkA2fstJBZK2uM23SZg37wiF12dmCPHIVXo7KM7dZGHbIqqvx
IpppmRrna6YngLJJgMvPn1UWXU52dQstPVsTu/VYtD02csMTu9DLsl2jKSh9TMxY3d7Ygj6SdMWX
bGFtPNvxfhkU7vbC8LmPyG+NRHpbJ4JmlinN1mjyTyBzP1ldgt5uZLxgZk90UqAJe3avTY1UmKyq
EzFF91lnHDGYnodRCZV08rZ+0pzHyNXBFA1rhIUgwSPjsW/nPSPki7ori5UKiJtHI/fQL2TcUvtF
h7EJoo0sI9wPFh+8VkbulZ3XISHTsHu+/r4Wv80bKa7/+Vo8PX99+dkey+JV79ci3QT7IbZExO5g
KdfV/J/XovmH58KZw2uC+MTWCLz3azFgj4XDho7CCf8TGf1+Lfp/YEzHi8cL0KSy4/qVPZbrc/f+
fY8VYrMOUJKxlQcKqt/E99eiYVqztHtLXMVRuQvmkqhbCc6xmLtLpy8+kZi7akhV3izpfB7gKt1X
JcP2ejigpHlxjbFl1eNxKCksFUFxZBfODjvKyMEc6TqgEmmq8qqvyZ4Ly+LejBi7ICoH8pU2X6yh
IXo9HC77QaxHa3z0i/LVynIgF1CmU5E8+RGX46jEPcBt81DBWBelitdB7I0b3na9Gwb4s6lBWWrZ
jxCHqk2b0nFIx6WONXx3Rxb166jkC+4+EoaYE27DGmIWWQi3dZ7cTKJ6Xkx1b8zwaCJfjDhDyF3I
De/c8w1vM+jJfhPx3Mqg/sxJ8CUJukuykH1OFv6JQ4fbRTbWtVE4m6zApNQsxwzl6T7rPKQqqX3N
6XFtVs60StP/z955LbeNrF37ivAXcjglmINIKljhBCXJMnIjx6v/n9bsmW17/HlqzvfJ1FTZMkQS
RHe/a61nATQZ3Hb0M7JVG4Q9cBnN8B40CaIBNLZFGpHKmSNoGZma3Pf9dMGrxmNThVDaGJlzpMXz
rskDAPnatRFDTZmPmS8Vbz5EmbeP2vEA9kP1nYHMldn2u1ArKbovmH0gOBaLorMUSEKNS9exOj80
aSG2HrSSVdc6CePG1tgTz0zWXjp+5dg17cM+0nxVqMyg8sTFoe8qPP6No11pO/wKJSOQILhOiqAw
k37P9RTCvPaynI4+JbZ90YnoWtjKppD9j7EDar56mUgpbprQkKfMiAqJ0ImXZWmuHVxvOzJM09YW
6Go0Vq8cRzgL6PXvELxynzwNxyzFzFeZkJCsPHjJHAArRBNOcQoZjn90IrkSr5NYABGciUMFWrvq
BexCXa9ugTFFS4eR9ZLNHjdkh79RbUxjW+sThUfd/N7VqrEomw6IPgLUIkmFB4hFAjISvV/Ok3ti
qOkt3dH+qMueskhPuxFDC1qk5VameWFchn2csVrQHqMp9h0xrZfeSRNqVGlhaVwn27bNCEUsHO5A
Hja7gG4GxzRA5uVYJZnLM6vsem5jz7nQjw54zczMrZJbz16iv9FJAPwDNVgfm5OSKxA+FJfuzEEs
56h6mzwTm8ngVM5SNB4GhmluzT0WZMCPC27eeDXWE3yT4SOboscx5DuvUzBOxQmL+cQeaTJa4+IM
+TN91s0ycGOO6k3bAYqavoyhDZcyYAAGP5Fwv5cui6Kd/DQtHt2iGzZDhqkzLpjB1kgMWhTaB2qG
K/KBEfk8S9zPRXCu7fLYjR6gr0J8i9vqTjeindDdA33x17lNDvMcbXTqLSIlOqkJM/Ni4rBIFIyz
bm3eqoXdE9KpML2P2sE16GYBNLyj6FXHnMMv7oXbZjAPHLy/2TTaNyk1vYVjroogn/aFMr3qEsWO
WM6edqSBLJ56ex/P7dodwxHuZeK07aMIq75Yj1FpzrTj1sWdMXTNl2IcB/pD9DJd2GrT11sjdq2X
MC2sfduUWXjJwiyE61Up5ksQ2npwSixkm9xL2yXBgUeN/hC8ZCipgGwBn3G/bM0i7VdDwlBy4L5b
WSW7cO7C587stjP4YgCS9jZCcyY4xeYRbpFYeEVwdeeZfVLX+pQKzj5S0SWzQ2D4Gk+4vIx5PIEC
ZA6bfAtr51rbiDIkEtYT0egt1cuZ70ijgdfS+tF/qaxiXvMt3rgBcWMPXwyEvotnxocunSy/LNVX
beQ5XogBZkV+qw20q7Vt0GyrjP2haILzlKo6CEIqpoGTjgvBFCbdiULn8GSIV6foiVDoQHMcOz7G
afKmuwNPg/FtdPS1qEg/zK61CUyT72HG4MRR0nt1PAraffJ06zLoF/OGToSN0rvnULPidT8l32wj
olSxpfbCoMk1i1caw34OTIAHEMqZyefDXT7jfosCnn51nodrQR0cJQccPkhfEsYmsD2Z+cboVc3P
B+YJul3dxonFVKt2jkFZXYpGjX0ShHRCoXBUkX5jRlq+tEJlbdU1xCVHfEnt4lLk1Y1iB8Iv0JET
t39PBjvaDLD8hnIsFjQnHALqma3KZdYRn0EV5r7e2vsyYFcLxXEde+qubNwX1XDjjQGpDQploS06
lDsB48G3EOXFlC3Jrd05HsxUTTc/7N6r18PMw9Zw20OSM3RDorL5i+O6tuu92bqgnuIItaN2wCE5
PJ/RxtJ+JvQY32VB/lp1zk5n2pK207EvlC+pwUetugyNuqLlcdOvcy38SDxva8HeKhT+NCjdb22f
fC0b7ZDr0R8Bhf9Np2X/xu/2k3VcFs3r3wct8ue+21HiKsb+RM7JYUDCDOa7HSWGO+MPthtOp+83
lBiH8Tb/icH5bs7iMLnG7Eq/GqcvR25D/8WchenN3zeU8OAwX5kGzmiCDT9uKDm+pLoz69E5VxFs
TpHeWi+jpoI7tGohQooGB2s/d5X9Ykcm6WZPEaiUw6gMz/XsNF+8yCzuPC+2Zj8xuqFYG8JpHxuj
03g2s8HjPJSgkcXKF0wjFI+Fs+lnup76+mhfXOAlXaidu54e1GyS3MxXPQpMQou3duOSRrZVuK95
fNYn9kTYY1djTwW9Uu9BOACdbTiNh3UPiFadXtOqZoqAPLWgrqlZNMSDaU1yM5/c/joT/bhQBEMD
q/N2ZljXi55YUJnbt2Zv3eaxrS1Tg36gYLyZ3Tpcej3QNlHdlYb+ErlIdwVh7LUQCYZufZ43buzl
Pm1mdASZ1m1iO8febZ70HJC8LbIjTdsHKLAsxYHuLs3GAQ5UgwrOh9L1yzm9Zez0UJlzeTLqvljM
ggdhLUXmmp76xWBKXTJDAm6BSvujCLOjYFQ7O+UTEInebzS1XHZq/TE39YQKKIOVTbfNmmSjcojU
WMFKx0lYJDzfNIlDcUBZ83hgeJHwHpCyHPywd61tLPg/sx+7hfCKLwJuLY+qq4szyS2zdy2N7u0C
WmXbJuYxsIId+uk1Ltl895YT+XgYgkUIhyaUWYkiM28j2743a5jytKF8tQtxoLT0tpxwslInwKog
HGfBTixhtjEeMML6LbOfhVmITRYrdGiZ3ey3eMYQVL8kNnxlG0/ZmtVsZZftnbAIbSkD5+9Idddm
5fQ3ndwoO1PjtijVuza18y+Uso2kYrvr3CNrWpSoCqxqi0pR2fNP3UM9JW8BQwbSfgwJcAyundp9
JDPw5EA10KH1ZTlJr1H+Gmp/q0xgeYL5nKUx+yV97QUXbtbiBjLrMfPSyzzZL7HN3kzQ1r2ux5gN
HlsIAoTTobW57TQrORY60y1kVVQX91FxOKW01hD7WgLyVallm3t6Y5X52fDqA1bdS9+wT8R/hq/L
MdeKUb2YirKMLP0hb0nG2YWzL3v7TOTRYAoFt8+jeKuvWH6D5h4V/M1WxhPoqQ+czvdN6+xApx+T
PmU+EznEYjKPNHbB58DU/WumDXzFZiQHd8wQQ4V95sXbi3aInqoaN4qm5mc90C6UzawrL31TlMB3
C09dEI5D3jfyi+xsZtmLDk7eisfI9moOpZlO4hLoqZJ1IGMhFSwCvDy+k2MmDwKwA1N21ZrgKVOK
yUfKQ5OifMpz52Mm2lOnpex0wTfY+SuoxT0+Td8d9GuCbS0LvF1UtucmUzemYW6Bv6drvF+nDvAl
JAJXrEnHMRaVkCxmMJMV7T2KTQ+xVotrM6ZBsx97DV/aLHqGY8a89HBwbrXEfexykXEIyzW2VXSM
gcuGw8txgLoFUUBqGU39Mk7mHhOCdhPxxfL5zK2zcHDiWT0YHPax4+NcifCW/tfskJiJtWl5C1ZD
pmRbDe1+UVKvaMgIQKgueruNtq1CLp5oPZeeKLNYK0nwHxf9/5ZpOaX5v5fp5+7tF0u0/Jk/l2i0
ENxbpg0ayZXFOMyD/lqiNaJGNgIx9mUZ12P5/HPo4/EnHrY0R/1kMEk4659DH5pY5SLt8UcatSz4
xv7NGq3+QgsxMKyx3BNtsskf/rhGZ23dqmMxqucWXQKuPIAOZIWDrnQle1ytvFpSyOiEyUiUGxvK
nXyuonfU4E3RiZFAoIhZx1rKIuanQDLYmx7FJHPH8lTPil/2Kvqp+671KSJhPmyp/QqWsz3svMBd
x06pLss43HRNAAYYBBqnVvNhEPXWjCNxT0ikYxxRvtuDeygQG2rNlDN5yOn0XL1nkzx7NqaQDLvt
yJHJD+ciEld2zhT0meZFMRhr24O3agc1YF+vBEtFqzs/y6rLFLSvKNLvQc4RBCQfhceUhOxAsstK
FeW2zdzs4rW1tsjtCP+vAc0hmBxnGYCE9EMF2qsIYLSMJtqCZ3xtYhsPSXXjtiioAJaeYt24bwuv
XCqJ/lGm1rgK5vCBPhJG782uAy2/yGdtG1TeV1VNBS7RCLoT3Qlqcmps/TkX4QFI3D1dps7CmrHD
1Lp6T7BcX8x8CC3PKR8uguD0YL1OHeS/xmmeXBAsTLM5sVdYvgZTvbiZSVoziK8xew+w9oM77KdJ
xU6GA1XFuaXiSHXn+NBLi6qRNLedfMyOloreWucNZzVGIHamLJwSDNecMoxQlI5mBUiMlLMSQOdo
xgR6FYvGPXt6OW0yoKs8gKiJFUQYw6b+0CvULDAf4VXpUhXDlPXuIY3fVJP+LSsshtO1XajLKNG9
m4zguQ8DmxlhaoXIEex+RCbKPWfsMyJQCVjaPQ9KwSDCZrUIp+IbHQcGe7Ni39X6TVmUNPQapKnb
mJgMxWiC1VLZJGNPgkbrXuwy+pKmaefXuMQqWfvGXpX3jb5x0BHsLN1m/uLgetCC4i0PA7QWA51P
KFfNLb+Z0bTqonHTVaPrC8JVvtrWxo4SnV1p5/uxtVZmaJwnLT2bRjcS9vTshVokj+oQPFiU7G7b
1CuYKDgPdYvfstF0jpjEwRS3Y2dXsc3pVPU2n9q9OsSbKk1u4zhc2V32PKj1m+XVBZVBVIxMTX/j
siNZ1rIroVDFCZ1SZeuh7JH8zY2tkkfqPKo0RSgbF7V3okoGhajTI/vPbtFrJTTvmU1oCxplGvtd
CusFHrp6M2TDW8R7DU8E6U3Y7D4KnV0imqiHOmej0iVSrnPR7dhrsdUhQKBISQ9rROGnSUcfLnLf
JIU/MVlfW5TAocLjn6MNVkGto00iF6YknBL0QxcdMSdqoKErakpz5fcDJ4Di6KE81lKC5BdehnM/
LD3USVfKlN2s3jae8TJJATMEbujTjz7uIagpu0IKnQLFE/vYndkpHxFKqCsl0TI3qdgzpVAaSMmU
/lkYjIyG6qDqlokUVnMU1kRF3eWwBGhfa+aFUiDE5lKSnaQ4q6PSJrQv8Osh3OInxB8ZjlfIOpgZ
UHdpgEn8z+Xlf+sshI7frLOnj/r9AyXqZ9eB/Km/VlpiQkALLUwHZFA/l9PvVlrd5IxMyw5r3Sde
5M+VFhAiB1eZ/9PAjcss0F8rLfIKeGGHA6zBrphF/N+stGgyfz8NO7aOzo6ao3Nu++k0bCj6oNEW
lp411WzrvdfGJVSvPjcVRqapAz/b5nzmd9SoQEpNlx1N4Tx6t+NupwbJRsi5Oo0VSet+iSYQg2Xc
3/NAqg/qmBV0wchRm93i0Z2oNvfzzzkcvQ0W5qhtqdNWETOtK9LpPCpZT12F/hoQNvYxBx1KJnzC
HjH9MPMbmf2VcgjYueMX9JCvNtPB0ij4BwCjbsPRAvntgtRqvGvLTLEvan2FRM6WXg4cS3Thh4AZ
JKAqjlvqRB/LqJ1d5pRDDlHVlqPLUA4xx9rd9jberjwdtgGLnSkHnkMxdWCVGIIWRdWvIE0n29Ig
K+uhynOsCJhpVtFTl1btUlhlugmpfgOYwb7WkDtcZHk2u4Pc98LUZgtcfW6H6QWjE13ukaOIwGQq
982N3EHjsQ9vHbmrtuX+upA7bfL81jmWu+9QYx8+sSGnXkm/RHKPLuRu3a6cdlPLHXz0uZknkYm/
kw1+IHf6Qu75MTCDUZPnAEDiHAkSeToI5DnBLWtzXuRozyG/g6jivekotrbz0kZJ1/qQ4rd3Uu1N
qwxz2XWsuVWSnCICZHhCUcnAkkc4fhdmOK9VK7+aOF8Hf5wKrPB1+oEk91g16bFQ0WpyZ9hkjGJ9
yJ3Qa5RTQ2H3IiK6bJXZLR1H+1Kvn3UlPSYDsaxKz++NMBpWbeS+m0w8ecbdQKNiuBy1ToqANcX6
Cue8gYvbipL5hAVSLFSIb2kJEoFKkWCXTtGuy0lrjwFr7sjhd5XP4fs8DsTj4DchorEkFfLEanmC
tozaerdUdAKOy6mPD7FZGgRiO0JsTj49hGM7LqEyWEsQgwkGElzMZBFuWnvIqQWymGaHecyUMkSN
4G9iE19EmrdypjLyU1VKmJaX+u5s9pspivulOqo3jgUQNK2RfqaS7nAVM4gdjzTQWIzK44zqEzXX
X+xRY/8xFXeDJE54E2VzgWicRYWF0GPgv5AZfeRA5yMPwq9ZwUCIb5ffJhNlSUpy6Szg/lOvrzQV
un7XTPmq0CSGsxi8tcutr9KRtRQqO4BlYLUMBhQaoRAiEqdI96Jpi/v/rR+f8ryOmv1/n9NOH+Jr
8R6LXwDH5Q/+tYTo/w/uLIcxQp7clT8kTU0p3uNcs6AwmbokVP1nCaFuDhA5zFoPT6xuyBPZX0sI
xjULTZ+zH5r/v1k+IPL8sHy4lqrK9jkUemAvZJx/LoV2SL242GaVs8YN1rWcwlRz/giGKCSMCZio
M9Q1vfXrepJFK4Q/61uvzqkCcnqMSmRchHMbovLhCcMXv+warX5E1HOmd0thvmVDDiQPiME+qaTp
XnfnTdgM/B/Ii43jqpIchTkflAsEv1Lx1rWmP4kyVd/DCjM/m7pyXUiD/4CDkJ4cOeIp+LuGDAJ0
qV6/lJ/hABkTmKPe2g/C2SdJbSwGTL5WhLzVkC7o9O4tH2nP6WXwgFYF9uJkEfB0nSYZTsgda8Ug
hy2vDC7kNbV2ngwz1BN2LQ4zBmIXjccFmQeDo+HKZaC60GUgYqZCHnhTc0kawVxrarNnhpTTnaY9
0uMT4+9Jb+IqjJbsE67J3IoFEazTRLMZAmd8pm/svYkH0rpIhmabtQtXhjccGeNoadzci89ohwx5
IDOqq+Yz+VFLyqYr4yB9yWmIj0U5mzIsYpEaSdrC8Dmc7Cvp90r7YrzOMmQiGjO9juROChlA8WQU
JfhMpaTzHK8Z1RGJ8g3BdjOR+ZVaJlnmz1DLOJruEmWZqAsnSXiKYG+CO56t5aZPklJdcWOLnaj7
nqETIZTAVtxTbEKMX7RecEptflictKoLrloXPWeRZbHU2K9hTY/7QDfoSjO951Rrw1XQcnD08tzH
tXbMgigHAzSdM1RpP5ryb9FsLSnQbs8TyR/QIabDY95NfU9AC1F6e1f3lbPXLRo7YCjeRQm5Daxi
GzPiP16NLDpaHTv0SdKZ4w4YkLVo9U6mqXsceKfeKpX9ZDhEj3BHX0hjIjfWyLlqw6nV8PUG2nqZ
ZO0Rfg7eDG60MxZhe11XVnWwTRZypSgwI8gtlTt3G2j+L7Jig3GIBhlxbPYDlW4LQGja2gIme0Oo
bq3k3ledAKid5Neio6ZKMU5N6XCK0pXyZlLiaadLzDIP8a1iUVWSs57cq0kQrFz3o1XGQ5w5B9Jn
xykqWKGSaFON08pmt8VrPruTOFp5/jL3ysHS4mMO7xZvtRWchIsGn9ulQf1beMf+L9xVUbark36b
VnxIbsTMdoipi08cgLup+xqSOl20dnwe+0IiaDnNK22fU5Za+Zqd7TwOqC7Z/LzGll2kGomXb7YT
82jJ16gva3qsfLWn0SPU6aaBPRKVyc6hYcAbRp+dLGS4lsZ0NM0HN1PPDNcf7F51ifR6hY2FCAgd
AIxvZaXdWnO3czqqwvJ8ZbdwWdRoPFhK6pNKeI1sY2PX/YrsdAmhDgNnKm7dQv/qpXyH88z4aL3p
1qTsbAnN7TRVM5h5kxJBw8+TjhwbZsAw76HpqoTjg/wdY/g95kAMdWmyg+twmYvxnMvoeRLugrHY
OnnB0Y3LZ5Z6zcV4MwHk0OdpJ4JuqeAMhHOFiS/dOtTL52WytZtxjVt35EkUv9suoyOl3CoMDdLI
WU1lcRYQW1dCLTaUOyQSfnnRMWHGfbgdVXeZF8oR/856ymL0VX0xpaNf8RXBnuwH8GOoVPKDNvuo
s48i6G7H1uGOVLcTviK6054sHBwcz5dMA1eCahoz0M94hu4a4J3IS4jP4605evdZAqsOKy+ZokHd
5ISKvcDjDgwUTPnqGhPht4mGbp5wawxOlI25gGDI4ME+2RkauYq5flK1llG4e4fV9MmNmtuwn65d
/lVM5UelqpFPLAEbbrymgHjdBNMyDc1VpE5+aERXSkVPRW/cIgp80xQ62GpMoQOKjKpuFa/fug0F
bVF2l1jFsSU7jwTFeYNCCtsqV4FCWYHarfkq3jSeu9aMZg9bmgtWq7DkDcMHuoTeARDV1N+Hrnji
n8LRBVxrapgH8k2ivDgamGcNr6ByMB8rB1qNd7PirIoJv2lfp+uIRuFFVAaVj4uL4h7b2eht/5h3
4qUlHzqVzg4zHkkLcppYSrfCtXYE65HQLLobk/5pqNXHok5uC3rbAnNEFeh477xVKNqt01rcnQ44
sf4KKP5QzsQqFeagsbN1x+AcGPNOmPm+DzSaLmMXc3G8zrPpQukxWv8Acca9JrV3NLTxubSz5VTT
f6R77kNQ29embs6isW5JO6oE0pu7jrabvmR/LQevwsqOmQWo0a3UxYD1rJYPqrl4mtL2oIOSKNkK
dzRBJQZgwkGemwUOBPFQl9Me/vRB0c3orAR0HJEcyu4akhQ+BtJ9zShjHgj2kwZWlOQrRp6HpM0x
CQwtG2KnfZZgGh2iWVKQeo21r3ZOt1BbPaV1tGOEfeZ5S2KlTinrag74TfleZkxRZlV7jqymXHtG
ep/jWcaBk25SQ7skqUubrEcvUzEYawJY2yC1/UFXmC3Ohd83GEfCIfS1SV+mWbKyInHBj7RJgpE8
/fS1VMqV0iSvLbNaiX3jG8CIJumdVdeFqzpSANCwQ0jbzs8zFgkCy9tecb/2tN3S27GBOb2mZnVF
ZxLPn4ZTdTjO6xGo79SGh7q17rEFytLI0hcNOlpM0240KHuhm9zrWDI429VaQTdqe5qRspu6fO/c
ehUmDaeHbAQ/ifclV1n+vtvS/oJ9I2ML36FvPneIzDJsLGJ0M3g/Dxjaoa7rLhbKWc3xqKWLIr1V
mGf+/iI/gsH+2IYa0Lw01TDZ2n5OOb6LpWOvVG0crsp5dN9qfF7d81iQdVzmBKB+f6VfbXi/v5L8
Tb67UhEUkzYHXEl3byITWcuBADrvCvtL0r3EuOR/f7lfvnt8mxiOINoxofnxcjq2NTfIivDSKy9t
d6jCd5H9wWL4P7Fqv3pF7JbZLHMZhoY/XSKwyQV7HEovDKCTYdNN0yoD952Hm5j+Gb39B8LWL14R
bcMcWmjxwH1hGz++Iml11Ce1jS8AKhexQaKKOov0H17Tj/Cbz/vhh4vIP//uU2oCpbXsgIskuB7a
+igB9f/6g/nhCvJlfneFvp2RqkkjXbB22gMVRcV9gE309xdhzPfzd+eHi/z00ZTplJZ93sSXUTEW
keV78YXmEB5wzxYmjOasQ5///RV/9elgMSZsTsrIImL648tKofbFItHii1NdKzX0y2znBN/+/TUM
0qYmaiKBJ/enty6wDBpy+zq5iCZivEjYu/Dpx/79RX711kFLZBBHYZKjez9dpBgix4njMeHzeRb2
MeKkmPAw8II7xv8mns8huP7+ivKe+ulBxyPuv1f86cOKPDazpTZhpR4VXNOPkDr+4WEgwSDfXUKG
cy3NIb6rY1xCu5XH/e9vuqYwSYmOWn5JjjRE7lg8T9AYVtY1urV8xLu16yvr37+qHy/5xzfp+1f1
0yUxyQNkKvvk0tsNTCcS/lRZ6MX291f59XuHIUtl5bRg3v34wuyZ+Xibq8kFydHXcc2Ss/n9FeS7
//OnQ8SBu80DxgZh68crlLBgCRIw/HI4+k6uzm7zJaYSIUySf3gtv3rHvr/STw84OA1FjfUkuWjW
R+RereCumv/h8fbrSwDeRXDnm+T8dKvFWtq75hymFyHOVjcuRnob9M7+h6XuV18hbra/rvLTR5/W
fdROIVeJ0/dMkVjtVW2uLaRJ+FtKusmsf/iM/vaydBXBn9A4Zj9aW82ftAg6vJwyd4rs0vabqn4Z
7FU13/7+NvjbjfbTJRizff8NEn3IGxpV2WWgoVpTKCpKrH942359CRmLUdnwMGf78RLJOOZKxknr
0mTvyrzDzPUPF/jbrcxroCyQTiuLwZv+iY78bunh0elAZJzzC/u8vCPbkuzihI2p9/H5Xv1P1ZN4
xt9MZQuGsr8Q9fihPyeynwQGl22ZFMwYvvJH34l6OGR0lhxgC3Lw+t+JLCFjSiM9JA0eQrLn6M+B
7CebAZQ2XCemgp/FSf/CPSNBUN896iT5T8p5tqfR9qfi7dF/vAGrosJSHSXRpeqYXGyrT86B5Zw1
AvSIEOEnBAG29AARoSvJqRMCkqiECfBbvXbVXGvvhk+cAg2IW6ABRvBapnmiAvQUGS4cokuwRhmO
UUE2K0p4MQF80vBSmREEOq3TR55JszXTjpI1XoDphJSMQYBqsglooDV5DGTqqXNoqanjKtrSasG9
nCWWsjBGp7a2VVh7CWniBmWuGrIaCV1CgTrKhJxVCDuPIIprE6Bpkc8tWl03/7v1/xAkuOt+d+sL
YvQf0y/ufn7uz7sf8iVyBCsPKyk9oya3+Hd3P0wwnny2bf8HMvKnpG3jEMO8z9LLLum/975hSSo8
vjFOIDrpw38nSMA7+/nmJxtgcO+7yOPgOc2fFq28pOhzAqd7kxtzv6YnDx6t6jw7yHCF0z0SZ3hI
52sA0pxAwUoHcd614UMgmefMbQ3AhCkg1emEdRQ0ujGkD7lkpWuSmj6BT7dbdAS4Y7sSsLoaUpda
dgUSRw1DS9LXdVV7USSPXZNkdkMy2knxBmTmEqIxQKCCsN6LgQNWYkSPOVMnMXnPM5OprHRrH47r
65SkVy8yXmtbexr7SfeZTp7IMhT+FKW4Mavk0HWM+y08H4+T6r7EpDUOAlbXShtwVqll8pB22Ys6
OfPOzBkvgttAIZi3c6W/9E1+4wksVrZz59WblJKlyitQOZPhoYviZzdWtoNaPDa1Eu4deIpeY/q5
6ClGValUmm7GKb6RnmVQyTIpGX0tcKWGLZTPyh5uPGnPLWJ9Z+LCga4UTYw19buwOtVMb9v0GUtT
teBX3AAWleJ8v6QaqcEbDBAjTXTmSmawKKymQYX3hB9AvIZUfLTzYtgWrdNTrNOthiJh+msfCQ3N
a5MEJA0b2bYqsq81U49lqzeIrbW6qe058q2+u0yut1UTZpdq0ItNJJjfxkgcmMH47Bk7WiGcNKd+
U+eJNLnKgcGdMfAlr6MdeDKHd2SydM5K7yYvzaWdwBQh9XUcQtClprN0LLgjrck0OFMtMjDS+Ivh
b/TtAWNblpo83ZymoW+jzeExwQKdYjqS2pwMU+u8ohrsiCO2a4icoAHwBKB5XQfHxuGmcdKrDFhj
SeWbdJUILU+WEZ+cUhoP2CAXVU5lK3tE91gp2i5zi1OZjC/UxH+JmuatrCg11YZJWhtt8pVJh1Zd
kw6C9bnrp7ZY9lX62MUsDDMeEUkyuAaNafhpP25ZCYp1HZL9w/E9LNKCLraYPimHoTyd4EVZns06
wv6vbiwtYyzNfLvsUZSmzLhLZvGSafGh1YZTMes49lqxJ6t3VMEA6nk3LzK13Lm9+5bQYetFIXlT
jFW229wPTXxXdsoD85SdKqRxzvwobHuXQiDDXv0imuwBzjVv6jwcTYMGsK44dX1KUj0dr/TZbMYg
PpqdTSZr2JZesdPkznUyWViifWgyk68n41Bmw2Fo1IsamdmagpNlELZPgwNyrzHndVy3Z4gKOYZp
Z197+q0Vl4c07rdmOnW8wrzbJb1+NtX6FJYO0/YeJQ6mG9reXVM0jyH1UXThnLrIXEbhdCvUjEgA
X/o0i9bsCh/D1NlYYbHN7djdkT7c2P0gaV3tyaBey6d8Gg9FuEMTvuZKT+pArfyoq3dg5p7Ucch8
V82ypad3t0NkHTsIRYvZYabM1vCJRXbrwKcvp3ZJ5afidyhoRma/zK63GRScFN6wzuL+WdDm3ljq
t7kJAYjgophxp8cqZ9CFMysiv9WhW/rU5Wb62i0snn2jYeyJuM6r2s4OXtgdsf7v6LdoIeV5hyiK
zmafHYJwGhZMX0/QchmReuKtj6lMU+rsRlG9TVV4N7UgdeoOI304KlR9S/sSa91xBNlvpMqNFiR3
s/wISRO9lfDjiiYkoDfAHlAeR7U/G8Df1ZTknO0Qc52GV12xZ5x7IepLVS4reL1MPK216EKMim7+
UoJ3nby8ZThab9Mi2aSiHJaNrX1BUtlXNIdFEc4kmsZ6sjG+bt47YbeK4/ktyZy7GSPEUVhVCe4h
uC1zcVKEGiyCKluZs/WilfaGImnMe6QsktY2ocaN+pYyRr7L4UdKoRi7oEIFMDIdyUGBvtdKa63G
xsap4KxxU5QkhNB57FDdNnn31AzxXSVmeufC+6ButkKZQ/h+7heB8ZLXfA+B8bGton43mhcco8tE
xfyX2ICK8nFjmcV5aMP7WJ2bpWv3WyVDEZ5duhjt65xp2zr0eGu0s1LVYhGhqPSdfkf9iLtSMf8s
3VoafjSwgoZ9ajLW+xX2Ez1bdUMVf7HyuOXhbzsHXSB+5vgO11Flg3lC3QUqzbdzPlbI+Au75iVh
jtnWIzyIUHgXsiouCiRm41nBuqn3Fa0pPaGRvsvfelKnpi2SNSsMIi+W82WpS/sKjFyQlkFEmHPM
WpaY3uv3kDZwRCvTN1E3iPXkodNJpL6RYI3GNwO4I8se+yLU4WDaNUoMIQktahxlkSc29JQ8PKIZ
lmdRae1TojnEfqy5VvCYDda1GQBKZu6MeD9kJngATHEaRrI5W9IldcQfsAdpf9HddG2OycrRoc5U
wW1Y1bRy63gbDPzPGUA/oVVPwQAfA4FgVWsN4NIUh65JHMRo27ceGrWWus9mYJz6AbGasEfe9esW
Rn9sNPcoVdPSdaL/z955LcdtrF30Vf4XwCmERrqdnIdZpG5QpEQh59TA0/+r5STJsk/5XPvKZbvI
4cwA6C/svfYrT9Yn0lt2qCuuui3fg8Q6Yq1F7hOxy4itkixusm5m++jG+TmIM2vpuDmef5YkFRue
niOaqpsFWxNcE91eZWl517VkPaEu21ehc7JlvAM8s4BJvc/9kUBUPV3FborPM7Fu/TG/J0tgNZTT
tMqL4gHMcbHMtfSox+Ne17UzUUJLSqGtKet9F/gEBpPk7tZHfPsfHGEds8I4NBYnreVtUq/6FCQQ
3tLwVgZUChMLtzmI1g0eMLvu3vPIP2kFAeNcdFL2x97PPgGeIACMQPNSj+8aE6S5GS99kUwLK8eE
LPX7NtXYfhBesZxUWCEhWjMmtmDA3hYkkM5AK3WJsct785kZyjJLDLmxYZpaKPEoLfANFFnN0z19
ziwU/rA/FyNKQj+lpSE+cK9VyRMgsa3lzTf6QKhF2hkP04jML6k+lIajs082FYkt/hw05bCUydgj
W7MuEF4uQWgBIu2cNf36WgQuOZnx3o91fxOGwXFI5/dqsi9dZfCOR0QCjsnFEpajDZTBBaACZXUd
TI53LVGTF6JflxldUNTpt5nQTlknlc/a2rQtSovAjvDXtWxdosl5sUfkDD5PGpZT8iSlx04Z3osk
ULrSnBfTJCe9iutnnT3hQnf6TdoOGZsk3rUXGDtfPXpqNt9D6Ue7sIFAg8jxXCE+SPEbXDWzOVZG
SConW+lV3eRfUBiCf5tqHEn820TokTHU92Esqy2Mtv3ospKeup6MA3Vq2+JZGtxoCXK5VSNZENeT
uBhpfMElthSJiPZuNLcnwK2sn6X1wQyz8DA2wa3fZi8IScRO3e6OpUa8pLJuGF5ZL16Ef64St8Yo
45NvAXw3qn1Y6Q8mFvW5tHU22f021MuVnqenOtS3vYsmP7TzL0hJM57l5jq0vIe0Kw8xxv90cKgz
QV4CJHmejPrOl0BQi8q9JEYIPjbZgGGfoDUlT3Xmvwhp3bHYKY+2lRQY3Z1yY3biZc79PQlz2jLR
42JbDPxirTY2pRHjYCzEsEsyXGQtIiaAFyLXrXtpJCZtRNNoYu1lkzCTZWo52to0SLf7Vcv9l+sg
WrFvpgcqqsJ3fIckH854tGNfM3i+mS6Zsa5L0yzia1IxUyrO7SwXvrj/pq28+WXu+m0Gxw8jrF9f
hPQdzEfKNaS6uG9eJA1kY2ltG1/1aa8VZx3DiSYeuvHh71/mh1HcLy/jMqQRKg4BeMz3LxPouk8X
oFO4m1/G8lGz/stu8ye/nzmPoZtwLvm4fvysWgLPy9LJs2sxcqHtvOD1H//9JE+afEJ8UEqy9/3f
H7pFMFt2nV89+g77xvZPf//7f1j9/enz+aFZFk5qRBqP0it8AS1fpng53RXoLPmeJat//FLkVjlq
cmkz4vd/+CoyL9RngubTq57sWDRDrqpA4ggStZcwQv7+tdSf/c2sX72t774WdYl/c3XpRpwPOIOy
a0WaGZB9+q5uxTN1GjZ//0I/+fy+e6Ef3lThJj772V9eyIIyEZFIv+EcUUdx9V+utZ/cl+grWXB7
nI4qC+z7N2XZhVly8BbX1toE2esgCR/49Pdv52eX8zcv8ePlNhPbUYYIp6+F95oEL0L7Hy5nn7k+
Q1A2MVgivn8LSZ3ZndDM4prwBLTg5kz/w8MLTavuKHOEaTnKiPHtN19oWOQ6xyivs/s6upcenYXe
/Zdn18++dC5ixrhCUbOUHPfb14DzQ1yeN+dXpDuICDEtG/btgMepWmFX+vtv5Cev5cHzZ0vqgkBn
/vT9a0UkO1lA8ItrpHrqdaxUjGu3XpTUWHdfX+rfab/STPz1yPPyWnEV/8nBw8/8Pu40/0NIK2cI
yZWAI9Q19fu40/wPW2yTxxpZdYgZuCd/G3d6/2E5YFo06T5jyK++nz+8sobK6sNfq4xBOhkK/2Da
T/QD18AfTzvG/WqmyimEANg3Me7+8LRr6jYnocScr1XVImOixFg0Pk6Ayp4ejaTeBsozMRr1Kqj6
N70PcO5LoO5SEJwbZKs61R79oV7p9nS2Z8RFNlJLsiW7hR7GVwdU1BR4NwTBkhbLaH9dI+NLpX8e
LXKp8nLrhf6uT0waCuATHuTmZROqHHNnvHfsst/gY3/XnAIYsY9KYhDh2XVSlV2XEmFS2+vJVJwj
DW2gFe91G0hhZXpPpBTcUPhfbQxJi74pBgRoQwbFZtoGErDMZPu3WRLeh5SHhY2ccbJRRIcZPs2p
E+9jGSZkAvfVa9HxOpM9bGcN56YFxg1Py46mRd+E0mDkQ7wnw5BYB5AZVodeD9O1WY3QUwlWXBEx
uIwze+PX2VvYxysVOcqEq8Vf2aCwKkWylTNUKlePNuQI7ACIQKvvMG620aoRmbE3p/Jo6Vl8MAC2
Bcx6l16jV8sgZaKY4kb0R+e+NmJnM3lNt2RyzLvwG3H1MmdfjL2+KGccmnZrZ3vGcxds0Gisi27Z
dsHHNvQeEg01YKxZOzEF71QpBWkCEjmtk69aRrqs6iFsaELsyihocYjk+gOzUDSO0t7Tw8mVCKs7
HEc7NNruMrKR3IZzWy9LMg3ZXWIqNHQ4zRXpy3ho+/UcxRMpBbCn7TD91Bg0aENt4FDRZhNCq+Gx
+EnXkQ0gCHRftNKwX22GUeV9ZCr6I4U/tHdUHAhrnHE5al66r8gKkS6hIYOKD6E2TbZdaWf1rmnD
Mrj3YLodDCf6HGolCQJB6h/mKoIkkTV70voeGNc2PObNndDwHfP8X7dRb68Hj4J/KMpj4TXnts2/
lLJoFmIesaYNz1XLeMiZ46ferCH5kbmyHILqeWg9fU0Exqkv5CnPdQFiNYH65YHdI4lHOUWL2eOW
0J660dCXYpx3iUnn4oTiSnDztvcQZsc4ylDLl2Rdt9vENU8EQ5cL3e8+zlVwHfT00ZdMwXPoIqFZ
21vmsPkyMep43eDc3GAwf/X19ByFBMdmYbTWff9cZP6u44Bejq72OQ7iR0hhNWbvEOCoqX+24upp
SL2VBqhj0eAneR0ae60Z2ssgGGuMHXmNEowKrM301knFR0Qdx9ZwP7tze6T1vsyGOJLhKBZtaV9l
WZrngoTpTGe+VbnO0ZINsSR00JoZ3Q2h3i/SePpoug+pthaTd6xiQiqGhPShKG6WRaU9xAMEmC7N
brFzaEvin14qrbtLcNkvGWXdRDZ2AcfqVtYILTBO1prm7Gbl7egCRt16gy6xISo8i/wzOROIvNMr
S8ZlL/jWTVSbg0vERprPH31n6DYEbS0dlp02OvdMI8G8G+pTP857v4rfEPTjfTUMeCSjj0Uxue8y
+81vUOf2EtB6UbtPoQYkz8gDbuIywrIWdTj6eBbiDM8IPysA8P2ihPv3xDUpyP/mxH0fXj//7Mzl
p34/c5V7CdUonibKuB/5FLCzYW7zLPCIn+Y4/O3MJQnXdEjXo2ACFcqP/75ht4Cc6vZXk6uHXeqf
LRnJmf7zkUs7afu0MWw6+Su+L8uCPq4sIvSma1zcWJOr2MpMu2XnP8rZHBf6ZNYL3yxO3pzdeZN4
m6pMW7raTHZcBO8exB0cmc4/tKl/tXS6Bak5byQAnLPef5rn+tEa4TT34abWHMC76P3IYK9w/jvm
0hjnrW7mJ2TICKCDwV+kM9MlvUYHT/vFEi59cnCybiw6UyABNes3EBalaT+nGZf5NL8RRcBiLfV3
Y90/pnF30/jiEjPn2aLLuc+JHitLGV6CoTuU41AtJq09Gh5jSllAWpMl73leJZ4FN7Hf9160YaIQ
4JIoNkWkfegrRnKc6ajYLrR9m1lEtEauG6wxKSKWBQyexPWm9rBcWXCaYLZ/Lv342qaGQ1pBPd3P
Wo5NIbAIzW2Xcy05/xIr5uAWqBcKLVn7mv2Szyk8xTFwsVfq2cEtY39Vj5AHNBmoDIRk5Y1qt+jb
K3+iMhn9eWEZ/b2DNYKZoP0EobFOl2HcCAZjPYf2oif+E7O8w2by0RhHRitYsWryUgAtk1uRdEPD
9vNrUh5kb7EKSrZ+NUZ+5uvrlGA9PZO7WSXt9Spzj9CdrdRJ4fsaYRVgLhAu+ghcR+8VwVaZyu5D
R/pxVml+qGIZ8BHw1xH0F2O7IPYPsGaJ+7TdTwQCygYAqkNEYGnqGvlwlb0w3OHs60D6UpZZGIg/
TMI55CppMCdysDbs+lHk2CVywQmvQgnHPdqMrUySYBfbgbXQ4mCHCLNchrV1nFS2IQl57n7SwKPP
BB9qAzYchyhEEiIx7w3wx3HjeoQlzr6dLvSyIkMnLCCHaXCxiVaM44gQB8IWCzPYWIQvthrStKbp
n2Ym8RnxjKXFZ8YD/ln3WH0H6SMuiJcwb26kSnaUnbdLiXpsmyLn10c7FmguMXT5uiAWMu9drmaC
Igd8PkzVX7spXoMOPvoEShpx9eLEY7cKLFZjqUqdzJrsgePiMaKxXVS9aPnT0iNGvHU1G9Wic19q
fNGLpnfOTeXezZHY6hYQTJV2qU/4w4i/tInBNLNy4xKLifb8KityMmtnNk8AFCFiEKJJ9s7FtMJN
WnxOMUH3TPTW7Rhsy3hUqFkQJ0BEbmLHxhZM0KuvMCid2z7PCoyCw/w1V6gUW0+7pd4CQ81CACXD
9OAosIosM0LBGvcBNN0RH8XL7EXnDBaLZRJ6pOAsPpSWINd3ue9xGbn1nj0KF2CgrDeAXSC82Imo
uKGMBy7jZ1dBYGCHXLoY/wZ0GH+emnWijTdlwMonbw2xDELThctS2ItMAWa8jn2KncrsZkr9uxTg
mBpF1/tgiPQ1oVZA4hz/TUKtSaHXBApjExAxvGq/om2m2qessY+V14qbGf6NNikSTjDUyX1VGJ+C
CTRmmM6Pc1merDl8M9gS9Fk/7fLA19Zdal4iHP2QY6IWtxIrHFBj72XlzuseGBfYs0o52moOdiC8
Cwf7B8+irFkGojnNhnvsTOMQ98Y+irq7hk0T/h+IKLO4yF47ljnvMk7rVdVF4ElmTazQPK6SKO/Z
wIpfpmD/HvlqHPXXR/5N9vrpvflJm81PfXfkExv0q3JItbm/t9kkd5D6jqCOUe7XhvmbIx8zBiAM
HYU3g9gf4jnIpBf4o3EZkIf0jzjkSND+fOaDrvfo+iAsKFX592c+WYMU0sIdr50cWEl06YdymO7A
xkJy9cMrObbJJ6jaBbhe6wFIMYeHpdG8uOMXLdI3aJ/EYrY0lmtwS0HEsQN1WXaSHPvWhHRdMoNY
xI7uTvhZyEFcBttxCM4wyYtVVLlvvRXfO8P8IaLBYa/YYe6sxFKWUb5L3epgqeY/d+EYW36xmTPz
ntdajZ3RL5qxj1ZmP8Hl91B/BLNzBvLzyMiZyjcNPyetdxasUnQhrxEBe6XLw5EH0K0Z6foGOvyw
SMRwI0327Mp7s3BNSUy9SrHgSUW5srRQGu6p5WLOGGNnYNreEEnY4rzqvHUPGWFtpQEIr4wpmZX7
u6ASD42PH3vyV71lrfuKggjsXgyEetrDpxHLrohI4tXnJ9v/DHJx1ZhSNXEHd+iee32Ol1WCPZj0
OoiFE/WNM8AEtuX0PugEVBguIU0aRmM9egqNPFwAxkXEwGaPbRRFhmraXMzTLuHy8DTL5qnU7DdU
VUcIB6wt55WDibdujX0fpLfmhAImtJ07j08oiGF8ayVI2yy7NMK/c2L9LZUzuVW6z2OSxAmURONj
boqXhLm9WbkjzUhBaHdv4N2Q7hHk3gM09mLpzPpTPCTkIxRgpa2AwOTmgvCFuAxSKdosA2AffZSD
9lBZKCMiedf5zoaIlOdeSz5lTAYXNszdZVMBMpzV7t5s6y/uNN3rPZjdWoXsZulpTFx2cskqEF/Q
HKwDU8G8+3lTuWW7MoUKgsBOmni0qKG7nRPXXjRF+dEqnBcLCiCMJPkq+pHry0Bzk6vExaErT8aQ
fQ64Iv3GyuEO4jPNnEPvTLvS6T4PmsAnEFkPNk1xGMPjJsfzxtDHDgcsfHNaumjRaFOy0iIc1RPZ
mDTI6VPS8SHNFHmkz2M/F7l51znVmsR2rKd546/xCBI3gdXuYvblk2yJwdhb3HMvOZOiUmFcopCV
Nljxx7KeIuItG38fpOh4SreVW0ggQDn6UYC0MZL1pJKgYq36wqyk81ED1B1HUxQk07rL03p+HL7W
hPYgPaq1kOz1+yKwqLDYsz7FIinXgpoSU8gMkENgaBaUm6ru9JIEY4u/naqRkpQQtxVOuOzAptJd
55gtERJYL+VgJ7jHuN2yiEsaTruziGi0Y2bn5NHnq9Dz5b1XUQGX6GpkNH+GFUBSSeitYmponVq6
T3OKaon4r3C8aIU9mS2ke5ECuh2V+Kx7H2Iq88gjcQVZ8AYB4z6mdm9QFWTU8lncbypVv81U+WWF
cE6j7hdREV4yOoFUOPd8usaWKK9Lm1Cn0TP49A6NJYplGIxvrSOeytJ6znUX2Az9RpJBzq/reVYq
pycbDB1DLDp3xByXUTUshWpd0ig76fQy/FdzKZWAve5sRgQ0PGaN08BKv0x0QlXiPlV1fM4a8da0
OC313L069E5OX+oLUUdkR1L2s0tmWKIHxpsukzuP3osvjyYsAVvSpe5jPgwjd4jVLe3Ri9assleO
Outp8RAhc/yXHTfTxK3nUhi0kblvVaVAiuNdQunQU0LolBKAck5wLfB6qiojA5+9CAayBKyYkJPe
BYMjcmNeBxQoWgSxvfTrZNP1fryoKv1SqHpmUJWNSYkzh8GrNuWniNJHUzWQIadP5FUk95PiBTaA
AytFEMwBRqxcoIIjmzoEVEwPKVoeY885RlX1KZ7pP3HD5w+Mt3ZaYT5i/M+XQcW3kbkB+QfwDT2Q
hjpoQzeviMRzeiJ+OB2q7pNvjkx88oxrDc3RSMGnh7CGG13lazP0LdZCpVG1Qdf6H80crOr537UD
owvEz0wf/roiun/9BMSAtcNP2C/qJ3+vigB1mow0dPfXbOfvqiLPoWD67f/wU78NQgC8WI7ASmDx
D9NWKc1/LB90ciBBrbJO9v8pqNNUWu8flw+ks/DXYU5jVvOjF8VKhoKbUo5XSZjzUjAY2aDBSNYV
Wcq5KzsawLS1YF+I4WVM8mNFvi7sP8/l1o3jZTCFhDgUngEExlkzyuaMmQp36eixdtS7+dUOzPkC
xvZ9dGqCtxALLaosuLd6zTkXA5GE02DVm4pIswtSg3USRk8dnKhRL8AB+N4h78yDaIwvqZyexojy
QaTkCyMFM8ydH1Mt+QnGhTgn7DHJCEGE3ZytaNrha6uQAcrV98QVj6OjfUwH7X0clKGflJmlHOmR
AVR/rslPg/SsXTp96FfQtKbFmLI/GHznbYpQkyvA6TKjbqG66+IVaetPUV7emg7YxBIJtTuJfln3
3bAOyXINz2G8h6hxR+4Vgs3gfVYK1OLGMdAqwtG6FFQAs0w+5DW8KQiHUWE/DDaAfj35MoWq0cvM
Ww/wDKpltN1D2DIp7lgf9ljD+yzKNrLL4GT6Vr1qnOk+Dzt71QE33TH6TpYWhEvK0556oiRaIo+N
edkGib/WOqddiS7cpRGNdE6mGgyw5A7dr7mSdMiLZOLEN2Jyb+wSAElTK2EZ86NliuzmwPrlriRX
ZCEQHGyZuu6plOJVYxFuLPCp7PoAGORTEWpueDbbOf+QtLYG3BS8Bh/fMC+lhQR5kPG4LmzvS4sO
SUbDNeoaBH9fH0zd14dUo9Kj8qx0NWiMzMxjYQQbAryMq6vHgEgJj+BxORWbSozlOZ/N+JEFw1MD
QQgErP8xjWWOZJz8g1EkJsF3PenOk/fgF+PeIm6vaoIeCRMbk8YwHrU+MKCSj9ZaBnOxHUawbUAc
64XbsuduC2ZSMLYWVjucJVL4B64AFlzCJb26zuRNMVEle/1YPRDn8day2T66qTkw54neKyOCdiDI
aI5946KBqmMlhx4r12yD86frd00fNDsTGe597dQZIBm3eEhNFL+VEUcsU6qH0utWXedQfPUzQJLY
JieV6q0PNFTciKaBIU3IRH2I3FYjl3kK/sWOEdmyRGfLQarxoZv0VxlUyzoan5hlVqyf9AmWOWky
ofBRqkuh7TXNHz8SWz0iPq6DVex1xVZWZfoptex2l6EZXZCiTihnJHcD25R10/kzmcasQwBtkJA8
WkZwihBbnb1hurT0c0xOUFIw1uPOJGF8A7OE+DezIFXGmwFAGdBEIdfO63/Po6/nkVJb/PV59NCX
GZTv9z/36OrnfjuN8L3h4cGCjCfUVka1b04j/T+OTS/OklxFPijc2B+nESlhlqcDgcAqp4bvv59G
f+Zc/oNV+C824T9W4cqsLNgMWI6hDNIqsPP7Ht0YbNhiZZ5fZ+Dn6MMXxMSTiQ4WfYacuxkUKT0B
mS4UOx0Wwk7vjW2MfSXqtT2xepTu5m2BNK8Hvj621WsKjB1Ox5IM9rOcjVPoi90csW5MFb89csOX
FqD7oMjuDoh3n23BEgQv1HfFf5+NMSNeEzVflkbwaBUnvgQY3/9Cjs9vPMWS90s4wTMrMrb2MOzt
jQV2PpLltVIc+spPnkcDbFkJop5pdE8nn7qLVPHre6ckcACivS0j6vcIyn08wLu3J+/UAcC3AOFb
k3yfxHwGmPaWAcofJwJriAHbliD0HVsBdoHq28D1M0XZ9yP70YLlNZfdx5GoYzKEBlT0aGpH37sR
oPqzvCRhJ70kI5GDmhEse0X1T1wgzEajffAVP7EkdFEnAoAQSQbJhAJYKh0AHAzdo0oMAJYPtSrx
P0o3v8Geg1XDKy9VfauX1iYndGByeVzb/qa35N3E6JqRNWYqYgosA4dEpj0PIkBRrG+cHiyxP6C5
t7L8LSbqoNLIPMhV+oEhk8uk8hBqghF0GchVq7ISarF3voYnkDtT0jyQqBASrRCojIXcJm1h6gdY
ViBcVA5DrBIZurp46vkzApqaZapSGzg7tnas89l4MKr06UgaE4ylhJkDGtZsVar8h2my7mKvPI5j
8FnU5JzFjvMgSudOM3GacaCefJUm0atciUglTMRNdKexFLaTTpzQu6Mnq5MHLyg+eTo7lCC/zYmr
SIrmKfTZwGKmI9OCN7WrVLqFz15nEbC5WbpEX1hCdYpusMxYaqDt7VczMRn2nG5ZSexS08rWRQ/l
y2z7d8+2q5VwWA/rxG2Qqbz2jSo7RTafdq0yOb7iHwtJa261DXoCxEqLGbTnwkHVcWaA/FgT8IHA
xFsKPWHKE2sGOl26XihGPYP48qiXMjsZ4LJ7r32OCQ+xhX2H3CFeuipXRDNIGMlV1kgRINj2J2h4
BHV+rAgk8QgmsewRs7Y9X1CwMHXQjJVFiIlfeXc9oSajxWrfCIK9m2rknXDRI0XxNlJloaBRwIMR
pi0oI7z/SU1mijZPr6E1Ewih8lQyPtFFR9vTDdpKJ3LFmFyyV1QKCwtAMChmvp7A1lDeqKiWgcwW
QM6v3UCGixwe0owSQHo38KLTJYEuAiwQwS8WCTCTpxWLjkwY1QxGX3O84hqmksF+rLcx7BTEffG9
TgdYe2v8VAJfq2kRZi3eVYBahqgewThoByBsa8LSXss53k1VZy/Z7k18XTHruZGEkakpmQjW4z1o
1ZLJVQcKygyBKdAhLMeBIeJIluGC//7FzOSEJCYLFqmI8Stl2l3d6+9tziUhnDw+lK77WDX1pc2w
QsH7f6d5vbrauAE75CAAyMS6QMC9cQA7ktLXnAJD3zL64NvmEz/WyPAWacHV1HfFi6AW25Qaz+Aw
9vzlMDQCJUi4C4Qjd6XBnsqJy63Po1Gk8aamsl9GkTjPXXRt1SABShjqnti6p30YUYyWN3Wrk10o
HnA6sOQ07tGdm8tyxmeil+4rwLZD5UQHkze3GmOd5aHeP2INMpYBe0fWeEOyaGwu6rQNXoiaf2m6
+i5qRbgLoRxAg+zhBrMJEV1/X3k45ZqU79fSSDOxANqOLrgvFlZvSZPxqKAZj/wrD7ptWON+M0X7
MAXjU2p2H5ras/BY9B+ET8atAWh5BbIzOs5tMlAiwXOZIjWWCmtUDoaFMye5L+DOzVVfroLUeBlT
qRZICbm6uKE9PzUXFhs3vzGfBud2bA9z8DzGRxFZt0VSE58HhEjLH2Mr56spuq1TlIwfyxaKi9Fi
f3TeDR70a0P6NzicuLWFFgAEnDJif+d4nbkxFjCBYdYfT6TF3Q2+uXMlWGaJ5meeDBVGc4xKmIhx
2H9wuylZ6HV3qLvLoFxHNvmQoRveiAktbMZKF4ttg1GgiVmpzdssa5ITyg9jQy9w9idX2wwMJzbs
gJPFbFgw8iuPbyvI12MVHmw1sm0ZaZEvXYY+noye3F4hy3cPGch5LLqFUCgs2/2QQFTfUsC78aKr
5+liROShRS3fM+nCDkIjIoVj2Gk8vw5BN/tX3LzlVZ81MoPbTuwHN7qQx+55r72Ypu0spcnzmDE9
hwdRk3W4yW3jbFb2nqfRwQm4dFBtw9pihqI1gkEg3ArUxTUIzlbbRbW4CNGGuyLS361Jf6fLfePI
wfBA+Tvp2ir33JWJAs3C1Uv6nFGuWK59kjHbPDskXFBPTFQw8FGL0HmOJH7GyWCpONZMroy2xFHG
bG3QlEfQQbSzyqq3Tj8YIlABkjtNG80LWWpXqyJqJyadbZlm+iMfP6e4kb1XMjkMEJQ3VS1vmxZG
mUeasW257O8lqGMIb6qLrOKFUY/PRcdAUmb3tphWTmY/5n59M9UJbNY53Y8CdGWc3QzcJwiH5AY3
1YNbik88XG+wGBZL2kmiJZ36ztCaDQ84YzuKhiPbaC9FxMLAJWeicOhPacSvrt9AagwiXHd+Oq0b
yTyU536Gx4+Q0cZp17mk568cOtC4NF9nmiymcOPWjRMezri+KXKfm6Y6STdzGZNpa4Oej5EfkRUJ
MjTzjq3/kTt3hxmdlcMYPVYzYdpJnJ1Hg6M2NU5xQAxeVn6wK+N5DFLOiML90LJ+KCXu4zH2NSDK
jGx9O3zKJx3REFj+OT40ojnLMNxUowkmPfaI3Kg4ozXnsa+G8wzHnKHEWybY66dGxtc+nZgq97up
mTrW2845N5BlODkPQi3a6nbskIQsMCqap1Gfj31jWcsQexpbA9L7xjy/sQJ9XoWdpy00PEqrIYLx
NvTILEeUqdjDi2lZtaQHeHOzaxnQk66evLkjNYwn+xu3ai2YpkO5Df22PeV1My1razxmieupHO5t
mgXa1s/HhJoz6Li5bNxw4sHptIMTu/nWicq9T7XF9LqyErJrGXn8yjr5d2GqGqS/bsfuX4v/O/Vx
+3/XN+IufzYj5Me/6cpgJ6Bu8k3dY6bHjO6bzakl0IhjdNFJk1IN229dGdwFn5/x+B+eDpCEn/pt
Rij+A5CBH9MVh+er+uofdGV/mhDShnm25wuT34dt+IeerCF6ukUfHV5xbC1aE8zsf0PysZj8bgqp
PEueRVkEnpohvMeb+r7vy41S96tskhcs1fsi6v0NFqak2bi5PEtLOiOrmKndztOAY1CrkAganWff
myxIONXZqZ3dxvXbfREG9blvCKxF+2E59dlxNJiLogW3AFbBQHKApoE6bdQr5mCAY7FkUfrIet42
2EzXI4zCbROJet2WY7K1HHSHxeDcJG6hKHc5yN+SKV+MShNrWVMm2rbIscXcF80cfclRGG2sX0xd
XovKx//F7OVn/NvaqNgtrKOvjjB2YLjDeH7Xt53kr4jhz86aYS80GT1blXGMZEQ5lNG3pbizraHe
4og5jb1jLNxOu/TR8GSn1kPtt/cNVt2wGJ4cHhhUzXWJslOc6kasQ1GfsETvDSBQOOjRP4fSOXKE
LIDEeNTBJaIgShSdldpcTofG1l+qJMEunrmQFsr62sROsgOmT6Cu/hY56cTKgsWqCHhSeZnxHmVE
lEyEbU+lg2bcRywUCsqXTkp7C3dmPhK8ehx4DklCVjuNQKY8s5sVmQ/IlCvE6PE5H21rHVggFsKo
2s5zsyfd9y6y62ybFDZlp5buG4J9Qcoa+6KVDbTN/L5sumNkscfWJt35NA0856cmHJdM4zey4lKV
RrwWzDtpdgo4ksFeVvV5FEA9DKiu2D6JffA8zu8wsdXhSCspScRtC/QkLHpMYukEgp6pO9cc1YyT
mz2232lbZvq7cPrPBjbobZM5Oc0xwKhFlNrxbVV4+cqQIraxBKPecw3t4KeJsWU2+ynVov3sMGg2
3Mcu0rZZRB6zh3gnSD01sTgh2bodCvQxzC2TJlgrk2HuIEvHvL/1xs6Efc0Hz3m2a/Xhg6H0RRUp
RuxiP87OcC51jNVxIw92pt/M/NLBKM45qqJZGNu+0l7NFi2/JvdMhk9WoO1890kGH0tvPuAg9jY2
2PPGtekFDRzl8m2gCe87Ql8F9krbnG7CIDGWlpk6pCf5L+icXix0G6tmNE6+KELOrSs0INjc9MNz
zxE21xs30h482T4KUohliN/fjigxB5VSEDPkzgcIE2W6p00ANz4YT5UWPXhe/qhVKmOS9J+w+mK6
8lD72kFK6Oxt4hzqxN9mTtYvPJdUh9Lo96IX3Z0YkwPv72gn+kcaEQo2K4MnW8K4MK2KbAkh053U
cvOlxJD73HolWmc5TQERhUF6JwMXzLfMjDVyCsDWcRetak0588Hkk1QBNqI2NX01cluchsqOL72Y
gX1kzRC0y75y1B1Gdi6BFz7rAK8OvLeZWHRCEJ0nrTWd9dA6/8/eee3Gka1Z+lUafR9CxA4PdPdF
ep+0IsWbACVS4b2Pp+9vU6ZIllrVhTkDzACFc3MKVWQm02yz/rW+dfJABS+9pOhmjeHWfJh12czR
Jnsum3gZhHnVqNAOmYqWVH3TJaxp0Z7M9nVaxFx/+xxzR1FjV3ONe8sC00FdddlylLWHOts5QCKO
XhHwYk+cAKkN/mzAyMMFOAZ85VzeI/NG9SmYrqORmpPRP0SMPMFHe5fkZD/TnD2PPMyXER5YT1Gv
ZYWKrhcPdRsvpzzadFHz1a76c2JO0cr3QMHi1/skohZVyH7IR2WGQCBmhkZpk9czFm7qzJlF9nio
PXMxjmhN3KejUjylcHHWBZHmKOs+dboH86CBYhK2DxzqV0XF2xzTn+bZd1pWfzTb7M7UcvzcQ3Q9
JOMhc/tNUzLzUfrozg/GbdjzFR2GY+elaz/llqcm1lXTTGemB5+GwDzl+FIco7vrOYRpPZlgG8RQ
Z7gsFnSW8W4wgo8fplIiOiNrTZkL4mMC3qBxwq1fD8Ey0GFdRqZ1TeM5r2BCj4ef2Td4SHeNDhsL
0i8ls8G+9HJqqnEXQ59oNnnk35lAnGe6Wm3MVF/Ks7jSDnBC+OvTwD4AqNlUsb9DV/jkFt3CY1Be
OPGZKeAmTpnw1vQopCJ+VBxlgV63aSGnzADqP6pNvOO1XoTTgJVQuDujHS/rQuVpGrTDqMqmMq0H
D1JLxz3RaLprD96N45jTilFePkvD4ALj0FdPZXhMteSDakT6TEzh0TWTdemVN2nWTIs4yze0L5Qb
gN+Sf0EtqRAwS8IHy0MbqtBLhMibVZaq2iw3jP5CFdiTqKXVl7FT3Wdq4K8U1TmrtFphlylLGV7A
5c/taIWn7AuiYMqsxVfu+8Li88KAZjmqjBd0I0ye6IfgxqWnAb1zozj2dPB8fXU++0WiWaasXknP
MnNqgDO1OIUwV/0T1laLTY2OME85RRHwi4+x+9kw1/9nDyFPWq9irSOfYitmdHNSEQws+9wW5yG6
+P1jvA2TvaS/+TMs6W0ntWbqHBhfP4bAJkZEIvTPKjUBjn2eGmABNwjCv38YGVZ9/2qZHFq5hzDC
Zn789mH8PAK2FXf+uYUjU0YBB0O+h+Vta1xIYJJVwwwxvwVo/7lKyDfp91eJ2XMW/tJpwE/+uEVA
dSPOwNCDlCMDIzk7eXWLsKBxCgb9wAFk5djPWwRUN3ppBF9GHJpvuG6WHBWR4mW6jR0CjOjfSjna
f4pcuNxwVNYVgfVS0DXz9hPDCdw0yTcpVCSlEZr2tgs9po2JBYBBUqpie9wokluFc/cSfwFKo2Ra
9cCtekm5wr1PbxlqXiEJWMxpUFEkFauUfKwQUFYPMCsHnFWo5RGpaTtJolYh2VpG3lMnr99yhFun
kr7lN3RUSR4XZSpfLABdnK3ruaerl65kd/UO5JYqqu7Uwf46IHOuor64TkV0a2vSqxVjTGoV7hJI
KfdGW7SLUCsWaYzAGvkF5KJcWVE53s6QTNZ9zNkQNAxMqjbdUZ7S05Hl5TgVIMooC28wHoqkU8bL
qO+cbkUVQk8/SC47muhsUwvyFbLMyeW8lMt6p0Lj9tPJyifBYBpCh77sZB1ULHuhZEGUmyWUCaKb
t2r01NAh5amGC+fNMWd6c0q6W1HnNmY3Sqd6F8UPN/e1LQupNJqpIllRNSBQLqGv0Nmdd3vLq+td
qWafAb9F9B4mQa4uMS2y8VqpIS7L2KeuNLBNVub4RuXgEdvtOKOwWJVGjPvMyD+moc04bBryAxLK
OFdsdlqb6IxfMLXLT7VWr1POaIlr7wbTu7eJ5BagtsYtt4oVLbHqVsMmx5m0HkHuoO55FngPNZn0
Oc/nzvGbcNfh61wWvHz0GHiK5M6lZ+LXN7hGCb0UyB8uuCPjBXzUSAYStWiQaTjBg0bSeuc4ifFS
releVa265MiHG7Mq1GsfI61Xwlia6HopgS4pYKEwd1yakb2FO7iOu3aDil4vOnBNjZOeBxc44SBQ
wgA6GSnvfA/NLjI5pKbRHcdDFLZg3WNaSCUSyoUNNcCIKmBFVTCjKthRYYMNV8KkIomVsiRgaoI0
NTAoW3GFFquB8xTysLrnLafSs42eI2x6XcVzU0bfXOoSY2XBsyLeutbhW4mKbnoJvGra5Ih17SqV
KKxRQrF0xbgO2/5zpqDP1TdVq2lzQgmXPjStooaGV0w7WIYfVTfqKWSA/Ad/KxyREHOIXGEdP6QS
0aXYFoDAkVMO9K5AYrw0CfQqIXu5npYv1bSHYTcRdcL1gatRYFPIa2WRwwYTjvlZL1TYh5Ia5gfn
HopYWfVyhPUxkXgxVYyrUgLHQthiHgSyKM1OrUSSAe7+3ElIGUHEgyuxZSSN90nCfwbPrG8Am/VV
unUgnXWyn0Kiz4ZB14kcmRQ2vJDRYLeM6HKSlxaokp2mWP6nCJpaZjLR4l78FXflBnjcpxruWu92
S0K460h3Hhq4bGlrKPMc3wb5pHkDua3yi3v6fAO6hzAXIbIeHChvjlbS4wAYiCCmfh9CguvritYX
0HC5Y1zqsOJIil8KCY8bp+5oSpzcAFfOyypn61bFJoA4FzrxXSTig6/WtzYVMWBX1asGRp0okmMA
sy5W2zvOjNeVhNmlUO2MlK+aWh1DaHeDxN75I67yCBJeIsp9CRmPD8kul6i8AGZe7RH4lRC9tu3u
U1HSqwWQp4Ozl8PbU1xtr+gA+Mpe2RoQ+VTIfE1VblNIfT3FMe4UHwaArk0yXTYdcCA7LY86jL+h
4CPrYK1J6+TWgwIYMwI3SnPbQAesjWIXQAvU9OBjV4fXJhRBOhWSGTUAzP3BB8EZjDnFahI8OEEg
9ER1oL5vl0k0YQ2jMMjjfcgBdoBdiAWfQ+zIDTwv1XnEENDowlUG7xDo5j6Ef/iyJf9zNpE0gt+f
TRbhs/8rgZMf/HE00awPqsPm/x2XIHOdP44mms2pBXURCOB3qfLn0UT/ABtBHlr+OLX8EDjFB845
OvxaldqLv3s2ASr75jRLIIVfJoCy6GRSXQ2A+duzCbOHoA6A0h2ZQOBzNikB9eEcW2a8S8O0Lwht
dpONkQLwpABYmI3TdUumwcdkfdDbyH6Mg2yuN8S51fIBK4WmXZBkZLoVdeSsZnWXueeUIuSdr7dJ
uAVtKG6o5VPMrVarlTJzXaU5p57u7eLRUpuliNGMrkOb8Nl+8qek/uIySeqPlY6n5JJDzbqzsuSZ
CFa4yLOwZbM3iIas1Yj0uls6YXfVlGOzNRLBfj5NWJSXnjq2RBVtNB27DNS9aF1vX5UoKfRhw1AI
BrecV2XVLFt1DPdmMxoHz2OWOYtofHps64wkmVF6WL5tg3U9Rqe9CAT94GP2AGLuS2SxBoOOSeeF
ZT4XTfpsubmGazItjSfoq3OHWYso/X6bTaq5amKlfehJus46oWIl7eNWY0baIyOyqt9pCsYxN+49
xmrQD2s9E9tA8YKDEgsSM1pF9KNsh+1UFOUafkY+rzCmYU/JmBc5Bc6LioXCJYHDm1ssLOS+uq89
1OJ077RUZJteZR85lE7b2GAmFQqgZYYbMIpCuKh8ga4xOtE8r9sM8GO8KBz32TGQ7Zxu2iQaS2oU
WmtmxXAz6xQdwGMwTsHRvUHP0yLup46prLnONRfwXDNw0636U6wPaIoBxkA3MYdFBaWG6F4hzmAr
4msFJfQqs6zsOVKNapeWYXYXdVRukRWgLauL9v+sWi9eOeMvvNtZ8/hv9K9PLFFUvDTj9uk//137
+ZM/li2hfTAdRh66I4FqL260H8uWEB90OiCYzPxshf4xl7E/CKwp6AnfOfHMMn4sW9YHLG6mwFzD
GvMSdvsbcxn6At4tWyZoIdZNywJjZMun8nbZcj0lt3zHAX85hPkKMERFygo3bzJkd2GlEyaSHM1a
YLBNYtIEEFC3palRraziWkjTfgejUJ9hSaL9V203Pl1bROhMbMo5V5Cs5exNwi2yo8+9h2sIACAQ
zYwdPJH0T1tyQJVidC+CMr01JSe07HU6KJlHwAu89f2GtEd4B+byJqWV5mzLczlD/H7WyrO6ikK/
Szm+ewbMlph6TCfG8jS04pmLU7vyhdLfZKW7sTi3R8UwrtQho4NruCo1/Oo51TbMR04d3h8GHWtT
rYnsmVA/7Oqa6FE1q8b8WJtA6v1GX8eg5Mi71V9GHNGMR/1uaeN7muuhR7ypvMYKuyLpAowTgmBd
VeG2S+wHTQvseT/0p06yEZ0JFjcYxXk7QGXMQ20xxETzkkqaxKcrz6fvzlQ0Xpo27PZJyF0iNf0T
BIud65BRAQy4nBrlKYoS2idLBEE/D9f9hP+u9EgPKl1sYFEi+dVOVDImzoXuUwCtN9J/LpXURr+K
CDrn9RPFUl9tfl0L9J9fRaAp0OrHgLsSbm/uOobdcFQnlILsrc0QcWZ50mFETwxw1GO9cXL3igUF
M06qHcshGpZqqRVAfGWijM/wehLixpgYmMedu3AU8xZolrsru4i0Ii54q/ROak0aHpzLClTpvs6b
i97LF02irsGKrvLBxU1vhneuURvrbBC0lNVpsHCTcjWFrLzleC/ydGVk3YPRj/BK9e6qq8lXalP/
zCMPy0FPnju71M7Y9GEVaONFNBB88uLg6LaKd+j06jPcdntGvFlsQz+zHgIltZel3bpwibKanOa0
MmOCU1XUFSe/U6iz9PP6cqhzkWIu8YEG6EVJlaHlPDmF0+86Uycfb6+qYtg0Oukbk35X3as+uQaH
cWPMoEcXPATQkYIux6ofEf5NXmKHgbuSBtOtXuT4VsXYz/XCvnZKa99o43MSlPECkfGKTlN/b03d
ckpJncM611zgkrHFXIck/1M0Fe62ye2nwSamCKQUY0cHAy/X6sumzHmJq6MX46hCgi8welH5Bp0F
hyTTvhznmuc76A7DyE/Q0ElSyx9XkeZ9TQrvIgEeS76pUc9d0MJuaQ2B0JzsS5Gpy0m1yo3fYoiB
6I5FatdHol6EnvgUFRM2CKtpDoGhqEe9r8xnVfXim1w1ik3SOUj+WhIg6/6zO73sMTqi7e/P1Kvq
MfsS1l9+da7mh39uUIK9hoG5oZo2rm6JL/u5QekfNMhkxKbZvQA3sgv9sUExBrANHAU/f+rHBoWd
mw4T9hUN/RAo2t/S/N6fqoktcZ62TP7HLzVeuGev5G5mkKoTedWEBn1XOthkOZ69emF+odm/E7u/
2cUd0Pg0Zwse4t25nfCBVQyFrp3rQSEPic2OvmXzqes2v3+ct3/Jd1v6q8d5t9FSy1mACzO1s8mC
p1WH3n76/QNIC/1rPf1Pf8k7ddTXyky0AX+JGOxZZ9za7lfwUDiCz27bLTGGzOvuU9Fu2vCiYRKu
hc9RAHP4QuSXTQZEjb2hxA3uQ9fC3GhcttF1z2I74Bj+/TOVd7XfPlM+WK8HDJhiPYKw8rVgaC/x
KcVd24XzXDPOPTYCnPSzcPxqK2JW8n8dK5z//gnI7NufngA5ftNSSQuYIIbePoHM8bWmU+3xzPZF
XbnmVskhZk7RzMcCk/bcBWQH2d9xdtVQz8y2v9LIeTJyyuGTqco0r0DCkL1vVRDdvrrrSeJU6yS9
F6m+6z2VtJtQIu120FMMILEb4cmmyTyLomVlVdsCbRPkOUa5EcFvXAfTubPCZeoTkmUjaS2cJPgz
U3EB2nflgYEn3O7XN7Dejjp9pBVt2B2gUdFTxmCasGWS2RgVi5gC0KIsya0jDZcVL6I2b8Hp26q0
U27G8r6O2L/pESz7bK81xmUUHaMhXXdwRW9TM5kV+qQvc/emMawFo0vunmACzdA3IMKWzkJ1UmOZ
x8mnRsEnn04VBjivll27fwGl1eU78MdwSAIN33zxjXdfFxx2ddQM9XRW1/rG206H5k5fA64/1zPt
0Gy4ZS6dhTsfV/p8xy1nlS+GT8o2XjVrdW0dw1X0LaL6PxKR344e/vz1fTcTM5KktVP5kcVmwFg2
6xcVJL0Vnba//2j+6pOpvlom5HL1asHD1jolAYLlGft0cjM8lbJle84ma3l/8SXQ3r7E3/6k11+C
d6Ysl/ej0nHbnAMGJheYKloCxyiN9ZLrvH+GW/P7P+1XK6CGRiLptbSMvm9jTK2U80iii3Mf1UTE
PnfKX8wtf7UAvn6Ad68dYwGbbjchznW3aM141uMdHv6qZfavHuTdKusOrjVRHSjObrefyl1j3Qjr
4fcv1K+2pNd/x7vlcWSvrqrUFGeuc7huYYlZV250ciHSvTzQv1pxPIZfqrzOvzb/IX/zl7wYq9AP
mv96+4/1t3/2n/PFY/P45h8o/+aCfNk+V+PVc90m/Oi3L578L/+3//L7NfuGQu///PfHJy57jOSa
KvzSsL28v4JLWtvvj0e7/LGkcvjXP/rzcKRSWAUF3eLqTl5aDhx/Ho7kxd7CUWTTgiXTbn8cjpwP
eC2R3nS8kwInAF+sPw5HBr6Ab7+MRLf59+ahctF5s0hyyHIp6zVVAyQsx7G3iwX3+XQYjLE6j0pH
NngmWo1tKcucCLpmkJ1Dg6UwwNhumdUa5It5WQJvmk2+eqV7xlVctc+5irY4DAE1Nt0+sLVVB2SE
EMtc6Si+yLSDk2mLSYAX6IwBhp1+UBM8IHqbnoRBYMq3D3WgrLDsXJJXvbVHDDbIU45XInQ5pMYc
gh7ZNibNENASN7MCfWs6wceKuw22ycsxTk4tdUv02ZwGmY92rQGFf1qblYbP2r810QsU/qJlUvWf
3bA5ei6rfKU/6D4KZtPsMs9aNbq774wSW1RwcnGgkyudYwQ8tRQM6Hl5ZKR1ZxvmJqAuxsUwpsTk
17ToxKlsiVl6UdbTIlC7T25YXwRBe/T7cd7lztqgtwEv1KkSBeLC17pyhcyFtFTwtLvJdR49WuRD
y7iLom6r1O6iM+urwJ/WCuSPtJhmVlFdj/UIEXMIz75pc/HlthZZt2adbqaxvkqd5nMmBqK92Snw
ykNnyXxWu0urcdOWIFpxrnFtP3GIoRjD3eq+cWUHJJMcpdg0dkbrfNIf45b7mzYyiPHiRz03yERZ
8yD0sJW1eESU5uCLdDH5HSZIyjRs5Spyh62meh+NFJHF1ZdWFmqzkg4RT7bVBJ5azuXMJXSSHoIH
GYFkbL1FHlqPdscIvCiHtVOYpKiHgiEcUmnaD5+JhuCDqioU7GU9uj2Cce1U0SbC/cmFFHTo2Zim
gdoz6l30Nd3J8EIJMS46GQWXmfC8bBPMlsVVnDfFLrOIadUyQ66RjTkO5tQtulED7olYxZCaTheq
66MroYl1LFROakTTowz+H6BhZ8mfNM0zgdVdk1l2VI9y2ch8eyuT7nSAmYua8HtojOUCatgw83Qr
Xk0yI88xSsx6YvNO1ajcrDmwRUTqSWAB+I6+9jJr7yriRiF8n5PwIRR9noS5Mgjnl3Xco90ytiW5
D0z16ETNncLcMjpWMuHPf0vWn5s/koq/DCUGIE8/9pILUHR1Q2kHrADmZVgGC+MzChgmNEkUKGqC
n0Q4iXUQGrOH6MnF/8VJH9JHJ5kEsXCe/cJ9yEZxawIt4PkHhLtVXK2SaKAXzBEDSTkwM9w2sJdR
4kA1FaAQdCfkQp/uYKN+NIbxa2uruwh0gpEH4WpQyGIAVSADt3TTpDwhWJerVJIXhGQw5MAYsiKg
RxfU7VIEnb5oDcxcFJTe99HEq1ymT0ou0UJDLxt4/GwVxcPWU3Dnqgwq3an7NOUYamkvOYeq/Vka
RwejQ34bUj63tkUqn7GgHSQEeZh1iJIiqiJhMKyLtZeL+4aeoRnLFKE3SMh+W3OIDu9HH2Kkqxhf
Qq9MFxalxVAkPitttcBHOc4HT6Xmz7vTyd3PR3jIk2jhV9B0g+9TzI2GjMpUFTcBNoCFGtGJThEc
QwHPu9cTopde4dl8vvQV+GwwM+SGl1MYj0CC+VpWvUP3ia5/TVVwi53nS7QkR/I47Gd9Wm4x9Vk8
t25XOPV5SEPMTkgkTqpv+0AFdtd9zFR11/QOFWmKi9QHJmnWqsMhDtTr3m/2ZhbckFFUZzQOLjLE
qZlj9PrCGpRDCIB4lo3xLS50yEYYFxaJXSTtdRDE2arqaz+YK7lMMQK1nCt0Ym8NEAxB0hmzTHWU
NQ14HcAJvJ9ZneYr5FQwpSNDI7o4bW1ILsOc+9r/lcPI+jk/AU2p3x4+/p8+i3A0+P1Z5PgIq/AX
JxF+8OdJBAA9dcj4SGQoA97Oq5MIk0xBz6tJdywkmNf5DvsDwUhhc07hpisbZ1+fRNB2uPli8fuX
yDSuwANmCpthq1DfXSXqtm/L1Br7s5pfVL6xHIGNvXpRLr4dal6XxfBMXx115GWFfAgHHQLBeNPo
PH571LF6O9Zbu23PtRHhuf2oqGeXei5jo3m4BXH/LH//eOLdQPfPjyif0aubmMA5E2IgbenAaRUs
9lLnHV8031zKv32VO7uuAZptSXG4tlZWNJZQ0QfPBBvWYE+WYjKatdhaOk6IsaQ0kuAerConINid
fMwcssJFpT51SvzVHZR72eeca8IAmQJGJfIJY2VjgudKBPiIMLfCXQt91GNrDXIgXJmmra988itr
bxyyeQhBa2ZXeOYZjlL+JEKmgc68aMMrh9MdXIZ8ZofdQSk93iXC9KkHcK0El0pac0a546UHCR/D
tr7Jc+2iA6vFmGqbqTi84sjf56DtyMDeVgq+rS576Cb9YrCDTQc+fKk19TpsjLVROLsgNIdZYOX9
ipxNTfnAeMxbe7q2G9VlTTfHOrvOy8DaWGgtEU1zm5L6zuZyehFf2rQCfJCgKTTYlE5ZOpkbo8Y/
TBynxL/hHCzG2LQPHjBkbYeYkbbrUSgYnwh63oF7IewPi4SCMX1VifAL9c1PiZKby940jkNh7DzC
1V1cHBqvX4L72xJVvVAhGGYeFuhhPED1ObROxRxiSlXidv2+7tS7kt4Dw8B0l2bTrZmgixDZjk9h
m11kcQPzncnsFO/UHDLDUBAsjBuS5uXggIHv4JQYdHfUkX3L4B5LlqL6K5EWoJPbvlknnqgvnbAc
D8mYA8x1BIgFtvf+bATOVd0ygtMwF9BNWK00aty8JLxoM+W674C64aaZkatfOqGLT6Z5sgOG1poV
XQqq5tw2bcHJaVRESkVnvGzaHKctGqTVG+u+6lYqk+YGt3SqqYs8z6+nzLhIvbJkZIVvq0ni7moY
gyvL07YVqDkmHPdUPc8H26yopVPQDsLqa4Y3EVLrGmY1VgHUKgNqPoy/Z7X39xkFjqWhkQK2XUo/
KcjV9ZAMVk9a378Iwu5omBHU9nQ9qCYJ5IzZmLev6xzbObacqZF9jCfM1wuBX4iF4nLErYcdkROf
bngrMEYfjaoGiEl/URljZIQyMW7inr6EKgHyw4GAQbyyi+vppi56gFFJwykqv446dcHRnY81dKN5
64hHt40eyT4e8zKJIE7QLIG/apx5dQ8QyOuczcsy86++gf//t+nJBfo3m17zmIV1guHjz7ue/Mmf
u576QY4eIL4KiC5vhxOSB2vhHnfMF2cxIsCP4YTzQbUhPuPssQVIVYt/9cf9W9ZBW9KmDwMYUPzf
uoDrb3cldiMHrY6n4LA1syur73YlghR6XA1Jfm5pVJiOlECY0UmDfiGWTZMmF/hAOtooEvNkFuVF
K0tYfMhklUhvOg1cFk7iQymqT3zrd0mdXYUp9SKKIEYWQX01zWMx5HSb2P3a12kvrOr4EKj93RRl
z1xVB7AtooaiaOWXdBevtJRdI0ALbknUwPTkQ5800bFh+xpwGywqvcu0zwjTMzygfrLqfSLbWwSO
KoSUYDU0KWgKM0T1JcObvuR5Se+Q7bW6YmvLuG9pA118SQDrL2lg7yUZ7Lp+YByqKKw/Rb2XLdqO
/sNV13bRNG/aaG/XmYVf2zXrfmlXJlCul2thnNkdzv+X6yLQFa6OCZfIFvsUZZvZnS3vl4DcMMvI
GydXz8LDMGXL22gk76Wwq46hvKkKsj4z2kCW5QRbO+A6m3t4lLneKtW0bbjudnY6z7oes2G2gHN5
GHoTAc+Cj8ZFuUrE1ViHj4WS77kvK7O8aY+tvFvbXLIdeduuXO2qgw8EdWjJNnFyZKBMr2ap0m/w
fe56ru3kRmEDZaeU63ybUyPN9d7lxiK47sduR4DL3niaf7awIM/KpLhOEAjsTCb31XWPcFA1wPCH
fosJ6i61CU8iMLhOvUuk4sDNQCDMfs1wwRpIEjrSRC8lioLrbV5T9VlfANj5BB9zYdPvWSBtZEg/
U05zHJIH5oJTxnmpRgqZ+vzYIY0Y2F9Jc4PRBbaCdBJBBK+RUibdXLVIK5EZrdnJHoQZrRykl0Jv
Pvs5WowMgvu2ewNVD1qvtnYQbTR5d22RcVoRLIADnCoLYzcyTzMptyayTxLJdxghiAzstkYYckJn
5iIUMd2fd1lyZyMg5WqAEVVZeYV5INW8AmN5UqMOtu+oHXokqI4nMXcRpWLEKcizO5wy8ypA4UC8
UsJh3yNm5TUGE1KRz5UtIFgMV5XUvTy/My/Zttah1aOJeQbWLUGFV6JG2zROkM5CkevoaB2vlzmU
Z9UyocHykWpdY5tgLJjTbl7gZ3afRn84qQPI21Q/2KF/OZSNtRhobaWD3F7oZfnQRCMfP91aFAVd
BGU3rhTde5gqIAMUv6yctL3BmbbUFR2Sk9FwcQbrAheXujI9Ney5EgBjKzol40atHT3DuDIqkoac
e0CbD7zjXeReRIWyrg0CDdgwNkUQK3OlpoKyHLRjE7Xr2KMyl4CW2tPaw6eDd0sINLa2vig5lc0z
o94LnSRbMNacOLDSevFBL4HK6/0ytcpTISTPuUy/kDvmzZgUtuAaA7c38mI1+NcTZws1VV8QY+bY
GTOu8yb0P4WiiBxe91wE8KuisDikIUnLuCGMKvL7xjY4cIoUCE86nVqp7cThk6XTwqM4AjQ0+dlB
khmzqLuyMvGRePZOMf2No7TJCkGxwBTUH01XG9E/WAEIzzK1KzIoBaXXzvqwKFdROx5ybD4zSw/P
cVzedlaLKhYMN75Fm1OgcbuVlQVE5Gi60uY4kJBkqogmrDSbA4bEqmgq/WHK9WQfmFb8z4X3u/+N
699v9n7qtnDOJY/V4y82f3705+avfYBloBEe4n18Ybf/Ib5jWmDfxW5r4rZ907lmcywwLGlAMGyJ
fEey/7H5Y53jzC/w4XFGZMDytzrX8Nq9uZJ+2/xJkRB5Mk0eTTonXl8Qbc3XwNmY+Vk4FdBjGSnR
eikSDfRWiMHXtpBDVgkJlCzNBKyQLPiUkk4hrbxyMLfnpFbsttxGpnKeFG+posWCobLzQyKjLhyr
P45kXxy3gN1bsyQ5SrPsyMd8q25uJiQ8GZvJI/tygLWC8jpFhbqkDpg2W8cEUqAN6omyrg5DvdGt
Ay+AYmdyIcnUBoSa5i6niHyU5lPM61CS7OUEXFQz37RWny4Uz6DphFqrcaQFBQKwuQiGZlh0nXrb
ac3Cho/di6ZGOzViSWutZmZlfrH4O+eFJMCVLgz4tuOcg+7HWD+LvrjwWJejl1OthmWQ0QBp9szw
tknBrYBpxjLPaIGDAJfsTfnd8+S3ELpyNjf4YuKqJRErv6tcX88QTedmNLI+TaQHrPYGAoKFS7G8
laSJQn7zSbAcjAFIti5XBZaVdpHJlaKXawacGeI1ZXssiohWujFPVlOnwPY0dyZLTsrS40bSjtAz
CJ96bWPL9WlkoepYsPxsOsEEg28l17I2qu4TFjevhcAVs9xx1oPbJ1dAP25BjbEm5nJ1rOU6WcgV
MxHWNmIJjeVaqstVVUz+spTrbK/kX0q58qJp0yrSLw2WZAyXlJGFZySJvS7X7JTFu+z4zHhyOQ+t
Zob3UZur5MCXBot+TZi+ZhMoS/1omwFTEzdnB5M7Raxli5ito4oUBr/sJRN2dd499pfWsa5IuB5h
aeTLauwG0kfsRuJlX5I7VCL3qihWqe5k+6qxJQxyP+ui7Ogb3sMod7pEcdY+xI+F2agfDTbDCMQe
7asRBwP2SYcN0yfvr7GBTmykJRtqJXfWVO6xXm1t/ZJxBAOrQ9PW5zCvS+Uyz+1keh6HJN7YiMJu
XHxkeyvn3USHmZTZszYudlHjfspj9aoxK8x4I2b0bFZM/gothn2737mNsqpUsc+T4BTm+W6IYBDl
wIsyIvo48sC6em2/tTzzK5iFlr2r14112Ho2zv2sm66FNR39ElVDS8J+BU11mPW6xeMaa4T0dS+1
EOpsNj3iSGV+qqVWkrbubcYtnbLCfSUqhJfGRObVZ34xXbQTG16HKjya7SWLHcpxsxC0lZH99vn0
IdbodXPgGgSUA45CjpyDOVhik68nugJmllR8Aqn9iIr6MiO1s7Xra4gfUiPSEYsSqRqVUj8SUknK
paaktHxysoJhSiYVpxTpyUGCso3sa44klUptykCkmognmFoMvlnqV6ZUslTpl2Qo9dmRDkpqJo9Q
/lgmVPUilS5LGnq0c4/xUpcOTBUrZis9mak1XOnSpalj1ySEvyoN9X7Exulg53SlrzOVDk9Hej3J
st1l0v0JRXlVOCMCOgXdRXXhYhNVCfQBbOqIXnqnSDpJQyve5NJbShzi1mFQxSN3c901bjTpQw2k
I3WS3lSwV8OyVMRxkL5VGwMrYtRmkI7WTHpbbTidQrpdQ+l7NTHA8reS3Y9rgxNB+RhIl2wj/bJU
Cy81DLS++yXETltjq415TdgHtDnV4gnKiXMBeXqlSi+uJ125jAto95BO3b6L1oH07obSxTti5w35
dY7095qmv0sw/Abks2bAILq9Id3AvKH4gsVwNWTkv9IiWGD7BUnnZBsKyHETk5LfDjldQgr4f5qg
SMrMW9zHpBHDLcvxzJfGZN8YVkpQXgscy/gYKqakVkt5luyrwNccCyoVlVpfEyoAI1WWR1+aoBnw
Xbe4og1pj1b0ct3ilzbj4gRHItkWOKn9ZrhSx3ypePq4MvFa53iuFQ3zdTCN7arHjx27DKtq2wZf
aVN4IHOX/2gpL15PaX76zXmKcGQ45u0vDlP83KvDFD5KmAqYFr7T4H86GfQPKCskq7BY6tS9I2J8
V1IMhg6qK0zVQtqwaG3mdPb9MGXgjJAHL5hOuEBfrBE/TB3f1Xz8IP+juwr0/PvDlEE4wqbdHCHe
4qmg2bw+TGnsYW1cWfnFUKn2KuuMHrKf0UGd6TcBmra8k5GBUXv1zB+h7tUk1bIZCLJ4+9/sncdy
G8matm+lY/alKG8WMxEDTwN6SaQ2FSAJlfe+rv5/kqabFKGe0wdc4I84nMXEaYoFIJH55Wdeg+h8
dhskbrWGa8EW07TiOmxMfWX0TXXWRW7+mNfIeVgxLm1+bMFo5DBhHkN/FeaCIvUXVZnU50UY6neS
bNYLxUXkfuq6SoxmsJueRUxVH23Jv+L2Mc49BUEelT7OcoTq9bW2B+MubiEMdKrRrOvKt4A7pFkx
sRopWigGWu9aI9O81Sp1mxlNfGvIcbryDPACae5Wmxb74DlsVnzMSgcdu7ArTxBnyi87UN0x/FSu
GS+ftfBZYb1Kqd4+ZIzw9BMFa/ihXyB90ywR8mmkre45oX8G17IpwE5WaXlu+Tl9DE/p/Ws/dBhk
dE2FEHdNhOzObAf6B4YvOqyFBcxM2wJ11uYd+iCqFwcnpoQ26QRu2HAftmoBXxz2uMOM487sYm0z
SJaRITdlpgviiHE8NIzT6y4bUWo1AGClaiCf4M5LregpztLNW++ejD2Yyuk4btzKH7dm0N+WUrFI
veBYsgjTiWIisGdAVJXyzgMTrzTDMkLW5gTM5nAaZT3z69qJIHkkGbT4oPOCRZXUdKlIhjDmjYrv
uhXA63CUr1qElFAuIZVB26ydGEzz8bipzGvbz5OjWsKsEaq/eQZtTZ5RmCLCrNZGduNWMiPINnbu
JauTjmmjWZO8T86hxkmzsm4Z6EqQSOZdXBT1rHcDQBpSVh0NuZteoZoOmkEezR8ezmMo7lrh196N
wlMr1MN1JRXhneIi/t6NQs8mGrO7semlEzYvg2cr7c4Z/Li3mIt3X1NUCudN1jPICfr8wm9xHUnR
W4hnqa7TRaoqHQBL6OBTWvVGNWNihHeyBw5jpbbq1jFJWmJIyn2nXULtsbF8zkxlm2f5uChE+9zJ
K3PCkNmY/CcWP8Vigyrw97H4Zutvkh1lrfirN5FY08nfKFLpXz+h6t9EYqBmFLYgt4CPCSz6aySW
v9ADp89Mr5n2taH9FYmxNeXMoJ9CpLb4I+L3L5H37yKxoQgA4ztQmQCUKeK1GOkybv4lEmNKhlU1
b+O8xYy0moUaoheGDKwmlXDk8xj0YQlhSO1AUtMc9d2gwANTkT9onePaiMxprmnKwguHG1vKSBVC
XHFSJcB91EzmYZM/eGqPKjvhCo9OJDgaaaZJzbeKRuTVALhqaZYmNgD6QHnUW5CEVG2aW225RhWk
QRpV9REuUO5rt/opY8WzwqcbfFaIAoeZVdE86BvUwvtLC1jEZQHNlQKsA7kcI0FdEq8nsSPIXihk
TgYnd8hKk7ndR6huNNJKCXEoDWHD4JsRPCoAs0DcCLOomkbUyqxcMC75iP6BhgdJ5KbKuatiOd43
Kf8NDYGVBVBpkvPyYxCDAbEQMhocCuMRvaBJqdnFzNG6NZY852HmH/epuqpLWpV1qm7qWAN+7yFA
ntWtMWnd8CozKtHcP2klPF1LEzu5ICnQphWtq7IBAd1g+Fr6Jr0DWxIiptdOWdIGlO0joxgvyi4a
ZprpfKf4esjK7KxAVwxInn8MNP7CqN0br8WlvQOT04JuK3P9SG6cNV16+FuVZAKb0i2qmuw27OJj
EGJ3fVgDJnKkn71n48Jc4wcetz+M1NnmqVUcKbi8TsMUPQX6/dmkjQnKmu/5p0EATi4qquCHmmYX
9hB+o35MwMFk2SROjR7XF4eGY5ZCy6+q72Zb3dFSxlpdzeaRhyLx4GFmkcfFtwwV+UUiU8D0tunN
Krm/yfjq41httWnQwntOR0RHTAa+U09vLvIKRQLZ6gDej82Dnte3Lerp2JfpC1dTHnPiMpQ9X8AI
VSbfNvN0phILs9dcXGcrj5cHvtPIuC7JqD4A4FGQ28p17UhqHGfp2QjRaHbGQcjsnwNIHD2q7jUx
Y3TABs6VsEIH1qx+dmlu8m4xjeHs59M8jeIFrk3gIV2mtqWDW3zAGXGx+py0mT/OXAVLPUGtRKx/
6bWmM/Pt/lxr3ZVqpFgDpOdmZOO5ESwa9Yh62O3WDs+s9Po6Z6Q/NQfrIkrM75aTnKPDjb2cFg4z
N+wZ8tAkKIJtlda3Vuwz9e1r1NrDHF81yymnmQPSoQ6h30X5WlWbZYWedOU1R1HhndYJJmyKWtFI
Hi7UuF3pTQcZvHPY7X1/nsQqHXk5vvOr4MwwST1MubOOwsI6VZ3kLKjzZSxpdCqqAbnuKAIhaVK/
eb5i46amBEdNGJyqTYBIfH4XKz1dfFrXE1Nxv+qW8b0pq3M1ifSlH2XOrA8Vc2oAcZqVac0V71l0
h5p66THXAEc69lOsta460/0OcjKFZQIsDAUUQg9/5yUY4CDigxZQdOSO5bZINX2ujrHoW6krGSYc
XXEzAtcVxdO29r+rrnZZd1ArtKAZuHUrfRa1pbmKCvmngUqIHgSnge8z/Y8pguO0mMlJcDea2o0r
zIJKNwOeVmORAC//CjkDsgDYGJ6WXqoSGpTKaP80nWbJuGSYFKntosrfXpZ0JNxUvWn9ai23AGgt
8BVYBKCrZyWXcZHOeiuQjv0u/hoYdTqT6/7YHGwsf7CApyVpCI+ZeGqmXTSPEc6ejbK/RhIRuiIu
AShXxz+90b0pcrQuBkUQ1gMENHs/fCxzUt2MJFu2u3GGYpQ6TakTTjoPyezazhdWB7twLMbLgTbb
XGqBTUaOd90z229UdCHd/MRxknah5+Ux2CSAyYrvTQu8koAJmM00NoE6gKG4TaBdwaLZFFUfLHvV
Z9gFpMdskq+q0Z6OCN2ITHKut/qiRF0SYO5JkJerEEOy1cgmIpNCcxgX0CWWEQ+jkq8Nj5jdC1hr
6M8LpdzWYbCu+2Iz9t7cCjid1QCrQlPuMoQ9kc7E8ZlmFqTIlVUTTb16obdsApQiidw5qBl8qo0I
VaR+sG4A1KxH3dhGNYEy0MwMPzehpkmBUqN5x+yknPSVc146o7dU9e5bzL5F6pTprNWVmPKo0oSD
dgm6oUXDbURBdfA23J3lPAv8ZiL5VNKyppnntk0jjSRbXZZVeRtEyrWRItSQjc5XxarvwsiHlkpc
mFQ1WwOMn0IEQVtdte811+6XpVMueH/3qH7D47SzxwquJrqE0DNTX2MgGIXGzGU0zZ2Hrim/63L/
pHYwS6hbeM1MREF8No+uGeHMaBWPGqjyMHQQupJcGiEoIyi52eD/PPgLPExaxGEZxbohKF5OWTF1
bePMR5WTIViQ0tDCBaDxVgPsqblFnESLAZZGej1ko48gbvgDF9MHgxRWQ1d3CQ9sSR7Bd+C21wpS
3DQvCwsXKesIo16u4pS+c0xqRCt7RHpHUqpzGt0zb0h+RnKUMTOF422BRsHg4VTWggRP8vwndgwQ
x3XnrhPwb6lIaIukJvIbKDXmaAfKSCJelkjyEM0rx13rrb/0A0ZB05iu7hFiiU5xlsVx5puTMpA9
FDoY849zWXEK/5kH9R98iP73BI0MOvaOPFr81Z95NPIJOqB9Cz04S3+aAb3Jo1EtJL0WhM4nmsVr
Hq3ZyCcA2HAYDom5jXjg63hIwEY0lWfpQqhBpgXxD/JoaB3v8miBH9QdC8VryFwIU1uq6Hi8wQ/S
L4/zSA7lc9Qi0SUzEGAH92Q2D2XYzFudAlZO3GgFFTIFA+d8c+sWI0kiOy1A6x70yLWFCiMjAHXG
LF5mehHcN5J8VLXFKUJtHhxEVNzYeXg5tvUi0pQfndV7Szzkq5OkKI6KlnpyDM61WjpKfGcNgnei
lBU4J6zXp+2AgZZV2as0oBtHxW9p2IR1ZjbNpPECxDumMUF3BScSVgTGREQ/yBo4umS5dCP5TApc
rsAJWQsCriaC8bdxMPzoPHDRwAauqjKUJ2VRTZE4PknkAgkIrNGGLFPXcq6f+zTsJ7KCMg0AyjZt
TuzKfcyd7iSATaVy7V7qjMypZF3CEhY46DjcwRidg4xTNmgyCH89ezZW5bdAlR89kANELq0g74u/
9pb02Agxlwzntyiy10Ps+XOFz+DK0ToY800VZtWidfEYQhYwmfpqgdA0ljtuz71aohtMHX8OqPUH
6rI03S31tLeLZa1HkA4Q+JwAm1nYWNoWrnEeqUzIjG5cNZ0iI7nlfAtNPIs6Y41P4FKubRgMdniJ
pqkOyKE/tavxtEPJeY7V0G3g4/FKYyUk54i+FRWtqSiqb42xO8HrED+aKvmZ2eVaVTQPj1BkIHzd
n6W1OScrqqdKra4qF0hlVXg3alweyYBg8IPAGZULNp+rpv+Yeta15w7LJup6MuzkeMjUJxjnttfz
k5HWjQk9gf+2SjNavXprMyBQUa/1w/oircL41OmTG/M0U4RNlQWMnvM08zXXB2ZS/cQNeBVa5dJs
KUUgwXoL/uFaaYp5njVk3hFXXCtV10pbLkMjutMHheFEg4OjbZwAh3SmdZbpszRN4Bv7yLNV0UKv
x3hKzJ8PAnoDlMueRmO5zp24moSJi7TRoC1VLzuJDB29P9COEbepHnXHoV+HU78czkpEeAA2ntTo
lQApCKzhocHh+buf1trM9xyUy80sta7UXLbJ6OwykS7l3CmuqoHEcKn0AZwieYHatjlpVPdn5PVb
13DkqZ/F01TmFrLS/ltllvd1RKstz7JLy3OWkh9dYpp0hPa0MaXymuW9NQ01C6uXWC4XtlGfKVqs
8+GQLbdAGml9uMrqXp/jKdRh82KN07CtUD/Ci7WGyKSZw6Y30ezu+x/4t85lZ/jKF40obigdDYF0
mhZcThHGZQz8TBzEvTCe4QG1CpNhEdkpqsRAfPH+whu8/q4UJSgkZOzVpF+0Ce0gLaAtFRRc5RHu
G7217EDPkuLzhXyry3A59A1eTd20RfEN1jZFb2rNhqSa+YFzm4QhA83SR8bagSRWBEjuJ2QDY8RQ
opDPtNp5qECZyujiDb0FhUp3BAtlreMU3pUUh4kqlydq1/HdGlRfcNOr8qEp2/Owt2dVqN/IgYdY
81CejhGAKN3AijbiFMrokYNxcRYYAF4bjbstcOhCqImenuMh0mS1K8WzyP8LoMNacoFHBuw26Axh
gN6MHbRTX2/WnZWe9BIwL8A/U92z72KtmQCFXaGAMikHeelYzUVgtt9lNT9ymZyYcMbnURgT//pU
woIku9Iap54GY3muyx5VargSxJA8aM9cc7wpKG8Ltb501ea4LMj1CvCsvTPMxhHjJLME/KMcZRl0
1YrSlyisLRyjPqE7urDp8k4dVDGKXBaebXjBqM0PDT7WlDazdoTu8YUiSEGed0nlcOrYWICPI+Wg
OXbHMmAVbDf9aZR74TyRAkEcM5olJKcLLZYWUUzx5tg/NTxk0iSHBkUDsbSlBSJR6bRDSGyo84va
sr/2QeNPEwMkXp8YzrwP1fg20txh5uXtz7BqMBmQyW9TRtnZqe+AGEbP+YqZ5kwFFmx4AwhrJT/z
+35RhOPXSFHRnm+x+MbzskqNy1JyMyzenTvJLL/3BfCtxM+FzCk5YG5Pa8U/USHk+D3FCFBivRZD
dn04cgskT8APF6gHmlUVfWtjqUMdRUpBgY11N7V7ex7LwZFqRAziu2Sc9Zn/qENvnA0tlU+FkZwz
judKiZY26YI381Rl0QOhgAaGf3rdRmSL0boOLMIl8PoZYj3fs1C9oNt1BQIaH9IMs2+/esAlcVbL
Yvg4nFcmcmJUkdPSQh8R64Gv/SB9A8Z5EwdUV12qzfKY2bYNWaKNkEDTRxvIdQ4eoAmby5JCZW4g
1LPShc6mCfQBR04FO91n2a7fTlzU9yRj0CuofUAWAR+riKmLxazobXpSFUBaB0fDB+k6mdwai/ai
mDKjnTqbm6tqja75PJvWq+DUWHYzf5Ut/GPgV+HaX/6nUfzcKKZv+jeN4gb80/bjyM7gr14TXGQN
ERGnziMpVZ5bvq8JLh6cUDtkG2dyocX8ZmSnmV9IYJE7lEUCCiWHad5rgmt8sRAgI2GGQ4RLJ9O8
f5Dgkse+S3AZCiIEDZaZ98BgkIT5lx0E3FUu0iRrzkbcBYHrNT+YPvgigbGAEGPpUcaI7WOUNWTu
OiiRWDaUrpqWaXuRVNmRhfYYSitofjttMauk4MRvwvVgoUlP/nEty9FjK3MIpayFuymBv3c7dZ2N
whJANr1pUgnRMvk7xf8PtdJvsegCIuU7NPZEDHakcRHrkoQ9iA9PEdKghan5JMjDbyCgfuRD9rX1
AyStaqyfXNP8Vha4U6J6VjvSdzfFpAR1dXgK6zbyT+ss+FFldjIJHOui1IyHmGtmnvDBoBKg4Ids
/XGjZHdYQQ1ztO8RB6uHCNvEDq377uug5uXcq7uFrkNmUEOtm+od3T58Ch8LH2KjHZunVR3fdOkY
TW2kd43IvsoC5xFkzEVgYNWnFpA3ZS+s527H3C5vb+UofXDr7M4tEDzI0gfKGlL7qPTmDcZ8qwpX
TcaWq8CvJnro/YhVqKd5bOezziST6/LsoVOcdSQhOZsMMFVygKCzAZ3XBTVFOWXme1pX0XGhu6cp
7lsjLZfFAKVHLrtjz3FWnmpcoTD7M9DDLdIYNxq+LLBxbxNvhC0phot8SY5cGpOuI83Dz6wAFVeY
l3R3177T/wQPjMUdcK9MduVpU1JNwJX8rnvGlV6jym0H0Y3uqT8b1WzJdcSfG02z0LXmNiFVqDIu
CtD/i6bGMoNJQMg0Ib6DORUtUGZBF8uQoVta8bRQamMi65JwK1vIFg6IzNqWRe1z80RYaDQ53xpQ
jW6qGibUVVqEBU4mJorgS7fKTwI3KY7HJAKAD/BVJPtXVkxcTEFJF3pBCMdz04to89N9I7Tj7Uc0
Z8cZDA+n9sgmHiq+w0TNvXlXjtfY//CqqU3l1C5cubkebe046ADZWCpjg6pwuY1iwCSYpzyQBt7a
SLtPLDO/l5WsBPHnTsuuB3gkByvKBATxJH8lp1I4kyyoObKcLU3SF0VGOgQLIWcFin5A0djeJmFx
avdZC5k4zOelUx+Z3jDM1AYtPi/pv2aFAT0KhBK7MQE4W99XTEqmcqmQfY2glRKy0RM9xcmxR/nA
O4pVx9dmUdR9V+2obOelVPnBN5bBrc/V2oKBZAaGtjDdRE5vLKQhsple56OGYnVc+VPFTqwLukCB
iZ8cLhJa0Xt3AaVLFbOFJkIG8yyvSPvB99EVpGbmFvIt2ox+IQtDHaO/xOHoGCBYgP221Wp4atox
l72NAPcRNGbscYoA6weUQ3GHnVWDBkozBk1m9gVap5p6G3V099dxmguOeOwjyGdaD7KHHjbDl6FM
xgmadA5c9kg3CkwEVcu7kWsrru5Ut/VcaqERxHshJ6b7A/8efCtllXqCQVOPM+R/rsvn65Lb4/fX
5R1Y2B2XJX/zelkKnU0moDYwXO4i3aDb8npZorPJvJX7EOKPTKeIK/YvphDoFh0dDnIgkGDvu0Ga
gqgGrRswLnSF/tFUlcHpL5clDwBFQ3+H6bxqW84vU1WogGEaq2F/DhSFygFLdsstb2oVqeBQuLWP
SprdBJCCODVJcl0JV3dJVqiIRheBKqBTniPM3wtdO0OCWJ5zPvvpYIWA7ABM1Cqu8X7R3jtNh+P7
QHYdCW95ByfUKS0La+o0bnajV+26lNnnNab0beBn54lXYAjZ4VhPwZQuG0PV5l6Ln32lKF8T4XAf
UxUtQ0dbQsc50gYbl/oGJ3YdfyloQcF5HPTJlLvnB9CZbuWgSI+advC1wB157atDusBsEwSs0NRV
WILzQLHdBX62zorySGT1KgiEBJGxLrecGZrbzgoVe4zqPes2g60HDihkgtwkpw2zz8ihEYTAKLoG
zdTJDEiFfn4sNzqOAZ48V732OColrI7sb6zmOsuYp8p1hsw88wQICv4Po9UpqRHUzbrsu1dE30sj
jefIF8B89YLrWqeSpEYyJ1oKytL0vFU0tsVKMpOt5vnxpE/NYxNeKb1+RsqOEYaLGmrCwnc7fN6M
8Y4vOpw6Zn6dSe6ZDnTGxq5Xw6yJT6I9ukN1IVVpexrZiJ2W9SiTodhn2ujQMnfHMyPjK63zfgZ1
hgGedg/NCMJO9CC5OVM63z+O4v7c7Oic0+6vAW8D45A69QhutkGHuq9mneecIzlbT9VEFEf0bvqE
po6luRND8e9yb7zUdf2EoZwPeGeU4PLCjmF/9FPTLiL7HL/SULsXtcNwZJEEzJFsOAEOPjLFUkpv
hvsa/SHL2Ep0axAbQHBUGig8XaZSTmgwqIqPEVYrJxZKE+jXK6dYhKDa0eKU5soK2EXDDpaDEc3t
Ah4Q4FD1qjSMFi5GCYDVi0A/44I8+FjOBglw5ix0FiSEXNzRyCIHlXskDRVS2QYtj44DPpXZqVhB
XMVpCkI90I96G0EH4bZ3k/ou+is6VPEs7WEfhx3TFzPBz7KbjrqcQg11t8OgrgLJNo4iw7gpa5dB
dVpPIZ1PLcs50yuopJ1u0BvpGhmUqHkk2aV+btUD039QRdNcCfCMK/XrNsqyqVsbpxBUoKQASp3K
knFcguM6VobspNBj5ajIsCX2amcaa7eV4p5LnbcADtQvSAuXNTqB1J5JCcmbsQujlZldxPd+bCzs
LOeoc0zy3OpZ2ORH7lfHvdXlR5Fk2TMqS+XcpxNKPgRcjbmEd5zqTLca2z1rCylDh9ukfeYgKpFC
qtJA1tNY7i8HpQKADLj1uBhGm5aX6q7kosY2tMr05eC5zkyWiuooL9ITz6cLMniNdlyZ3oiNmiIt
9azAErHIL02JkdMYDccQnG9zKdEu1BD3VaJfdCQFujP1AWlLJMBe77mM5/K7wgq9n1UKotvnGF9a
YbgdwxEzWIBOzKX/f7k/X0Y+OxWv/gToiN9eZEFa32QfZLH+pX/0WtDtftDvJbTeXq4GReUvl/HT
e3rS7/q7R8QbZL6aR+S5NOsL96oJZBQbIfHDcCTOwPA9/1pSKGARG1UZwijwtvl5+zXufvMflcN+
t1L/7iKI2vtJqewvKW9R1L5LS/6VleA5b5aCsRIZCdBaHBTFDwX5u6UgPYGTzAxL4Te81puN8u99
wH9loX7/Ne5YBA0c2p6LoKMkS4qFPcLzfiA9e7cI9DpUh16CdagbQcDk9l4DuAaqZuucr10bQbG/
QGljpomy+8uZOcjtIP8Kgfx3zgR5MDJWhrDM4+fXM0F4sPhh0Pm89Q7vTAh/jz33gwOHEclhVuH5
TIiw8TZGEhhkDg1iBc9B6NAWQXx3ey+C9QXdBLqUJkYs4odj9usiqBaAWEEIOMjTIDq2e24E8wth
ESkm1LRfD/67NeA0MIxBY0JUtQe5CALcsN8i6MoX3XnqJZvPG4EC+t0iCGtCiCt46xzqIogkZ79F
AJ0i1Elk9EE/fnoLhB0a6M975PmlDi0iEMj2Pw2MNhRIQHRjnjfCr3eD6PSQWyJ4dqiLoOx/NxAS
VL5w/TVXINC+Ow0if+Z3rMFzXnKAO2HvkMBpwD1UVViI31yQ8hca9VyhOsHiIOPiBxnif54qMQQ0
LCKfzv0gfljWdzuB44CEHCoIznMacaiHQlg37BcduSJYCE6FKKfEz4dcQSejwoDWFC3eg9wPyv5X
hArbBydLBri794NifEEww4DXYz79g4PdD/sXVPYXpCBNOtLP20Fko++PhsxaMZyGTnrQSyFkxfY7
GvRbUD2hEwl/9+nnw9FAMAWbF90RFN6DPBpCO23PRQD6AKyBrf/SU/p1P4iq0oZpQCJ9oIsgNGb2
WwR42eA7FF0XgJ/3p4EeDKo36MG+hM8DXQOhpL/fGsCIFC6hCpKWv64BvTYwNZb2UrUdXtr0gV/6
jzMGdgCx36TX9JtjQF+BlAktYVFy8nOoEeGl7fGXU8Q/XwoyBk0BfvfaXfg1IrAUGB8iK2wealH5
Eq/3WATuBtFUpHR8Ofc7CirRXNCRVj7QkCAMpPYMCWh/ychTM/9/SRZ+iQw0XzkupslKHOgifGDM
/OPjQEH1onv6UlB9qCVILhXD1MklDnQRXpo/+xwH44sGS572wnNSuGs0JQY26MMdamn90vjYZxGc
L+SCVFB427zeAe+TBY1SyjI1vG0OdSfsP5lzvlAtMmwhND79EGXeL4KK+4+hQCA71P7Cy8hwn51g
fqHHQj5kvUwhyAbeL4L8hduRiCD0DQnCh5cyKft3FlDXYBYFzut5I3xsstBpEqRBkNOHugj7Z810
mgSd0pBf6ukPeQI+E4xw0dQ81CvS2D8m2F9MixyB++HXc0AuCZVYoYY60C2g7l08PrcRCAX2y0H4
NRhQQTsm6jTYfDynUQe6FMJOcs+EkU+K4jzNpZcq6kNHBQE0QgJ6aYeaNb90Qfe5HCgdZHzr8aJ/
/ro/hAQCJ1ZaIBb01zTiIK8I4/nM7rEUoq9CRkh4fJlPftgPJAtEDYV5/oEeCnX/sRQIFTAZf26H
Dx14MalGOcohPBzqIux/RZhcEVwSmvy7Kkr5Au0Eea+DxSyIvtie4ZGdgH+GzgDyOWXaUUrSZ+RA
2Ic6ixESansuggZBT0Zp4qWS/FhKEj8ZXjKkPdjj8JzP7hEYabYiBy2UO18KiA87QQEACYZJdw61
ihIcyb13giUGTWir7r4owTci0CxD1jzY22H/AgJtFQCcLMMLjmnXThDMU1TPDzp71D+j3UgtBTlW
eckWPiROYPu4KIF8Heqh0PZfBBuSMjhPnJGev+4PKZPAfIn/ox0nfg71aGhs5D3jA+1nAxY3jZY/
t/77LgtLIcPRYirz9FqH12V5KXP2uSmeusuWAXzhl9qa6Kighgo8/GV5DnUN9r8ojC8q4yjuQ87+
y55/vxHoNJFOgG471JRB2z95xJaUj49w10tZyUd9vwiCsSkzuHtBRhzeadD3vy1pwWuqCrztpcHw
66EA2GUSMkB2HWpI0PfvsujiixYtxd/MqgXO0bGZVgODf/o50Mjwwe7wnw/nLFrMCNAZ5u+mEeTR
wvNIg4osrqMDPBR735N0WaB8cBVov4N8IvqHJgq6Jgd7KPYPj6LLQhYtWgy77wiSR91BYfBgkwWh
XL5nxgSGx5Q1wErPueGukQy/JHawDi8X6UEeihfOxj55k9ABgh3HTfCb/SBcUnEAt19oGIcXGYz9
9wPYXr5tTf4djVK0Hh1qS/MFSHiAi7B/ZBBjewWAIw3Wp58PE2u4EUyrbULov35H/Asr9Sf3eOoH
8eMTNRl98CdC8DPb9P/8B6+c3I8PeMO5fWIev/uXN0O+fX72MzNX/O//2TwmQToLqroMHmr16SJ8
89vXi/HplV7+/uUjfnzxdy/2+rle/+Mq2Jab8sEfnn4xvLzRs00Cw/l/Y/7f4+ZXxrBo/7z+N/Ha
//1f79/sm7D4909HDnn7+qA3dGQyrr8+6r/78GTzmJWvD3rzcOrvvR8+QYt21xtnp+797Okm3rR8
JdXrs968d/b7/s/P4qb68JVyvRC9PuHhaV3ie5lV9a6XYCyx90vMtvEfZ1m5c/2JPXs/fx7/MctK
Ns/rs96sP72dvZ+/KPEc2PVwEt69H76Mt2n6+pw3b/wzjuuqSe6z+LH++HgB6N77rR8l+bYMNvHr
o/5694JPsv/j02HHogvM5d6PPtmWO9ZcgPj2f3SQejsCgeDe7f3s0020I4YJ1sAnPLqqtrvW5DMO
6GlW/fG/qbeNt7tW5jOO6HrzSAB+XYc3G/Ezjuh6Uwa7luYzjqh4dp7tiu4CNrP317repo/ZQ7Ar
egm05ic8v3zYPr4+6K91FxiP/R+e8d5fn/Pm2Z9xTNco+e949GecUh5db8vtsOPxn3FSzzb5jo0u
+g57L/jZtt18zB0NVHg/4eHn5YYQ8PqgN1/nZxzRi3jzsN2RO4pu9d7LchE3ya7kTqC59n74VUDq
WAWPO1ZGIAH2fv715qGkJEjrHdtdzNI+4QXSPyZbhD53vcBnHNXrjXiBMt2UjzsDmZAB+pRPMQu2
3q4P8RmnVnyIBSfgIagedr3GZxxf8RrH2aZodt1WgvL9Kat02gTVH+f3QZXv+hyfcZjF51hv6u2u
53/Geeb59eaPyaa83+zKGcT44DNWiteYoqa9I1gL8tRnvULZjK8P+yumCqTA/i/gb3bWhPqnHGp6
GDuX5lMO899bDz9pqe3RBbnO4s2u7EG0vfdf9b+zGNr7ndcbRCjjTVO9vtM3e+ZTjq5os+y4h8Vc
cu+l+VsX032X5oYcP6h3JG0Co7v/W/87Xf2933pDgyjZ1ZcTTf693/s3ntDsOquie7730/9GQnnf
dblr7ncEX+P/PqW72rJ/DjY/NmtfhQ13/dn7XrT4Fw/xdlP+z/8DAAD//w==</cx:binary>
              </cx:geoCache>
            </cx:geography>
          </cx:layoutPr>
          <cx:valueColors>
            <cx:minColor>
              <a:schemeClr val="accent1">
                <a:lumMod val="40000"/>
                <a:lumOff val="60000"/>
              </a:schemeClr>
            </cx:minColor>
          </cx:valueColors>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4.emf"/><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3.emf"/><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https://chandoo.org/wp/" TargetMode="External"/><Relationship Id="rId1" Type="http://schemas.openxmlformats.org/officeDocument/2006/relationships/image" Target="../media/image8.png"/><Relationship Id="rId5" Type="http://schemas.openxmlformats.org/officeDocument/2006/relationships/image" Target="../media/image10.png"/><Relationship Id="rId4" Type="http://schemas.openxmlformats.org/officeDocument/2006/relationships/hyperlink" Target="https://chandoo.org/wp/excel-school-program/"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https://chandoo.org/wp/" TargetMode="External"/><Relationship Id="rId1"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7619</xdr:rowOff>
    </xdr:from>
    <xdr:to>
      <xdr:col>24</xdr:col>
      <xdr:colOff>10733</xdr:colOff>
      <xdr:row>36</xdr:row>
      <xdr:rowOff>182450</xdr:rowOff>
    </xdr:to>
    <xdr:sp macro="" textlink="">
      <xdr:nvSpPr>
        <xdr:cNvPr id="3" name="Rectangle 2">
          <a:extLst>
            <a:ext uri="{FF2B5EF4-FFF2-40B4-BE49-F238E27FC236}">
              <a16:creationId xmlns:a16="http://schemas.microsoft.com/office/drawing/2014/main" id="{9FF5BA0F-07B9-402B-F995-75B1CFA793F6}"/>
            </a:ext>
          </a:extLst>
        </xdr:cNvPr>
        <xdr:cNvSpPr/>
      </xdr:nvSpPr>
      <xdr:spPr>
        <a:xfrm>
          <a:off x="1717183" y="7619"/>
          <a:ext cx="12857409" cy="6743056"/>
        </a:xfrm>
        <a:prstGeom prst="rect">
          <a:avLst/>
        </a:prstGeom>
        <a:solidFill>
          <a:schemeClr val="tx2">
            <a:lumMod val="10000"/>
            <a:lumOff val="90000"/>
          </a:schemeClr>
        </a:solidFill>
        <a:effectLst>
          <a:outerShdw blurRad="50800" dist="38100" dir="2700000" algn="tl" rotWithShape="0">
            <a:prstClr val="black">
              <a:alpha val="40000"/>
            </a:prstClr>
          </a:outerShdw>
        </a:effectLst>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clientData/>
  </xdr:twoCellAnchor>
  <xdr:twoCellAnchor>
    <xdr:from>
      <xdr:col>0</xdr:col>
      <xdr:colOff>15240</xdr:colOff>
      <xdr:row>0</xdr:row>
      <xdr:rowOff>7619</xdr:rowOff>
    </xdr:from>
    <xdr:to>
      <xdr:col>3</xdr:col>
      <xdr:colOff>7620</xdr:colOff>
      <xdr:row>37</xdr:row>
      <xdr:rowOff>11906</xdr:rowOff>
    </xdr:to>
    <xdr:sp macro="" textlink="">
      <xdr:nvSpPr>
        <xdr:cNvPr id="2" name="Rectangle 1">
          <a:extLst>
            <a:ext uri="{FF2B5EF4-FFF2-40B4-BE49-F238E27FC236}">
              <a16:creationId xmlns:a16="http://schemas.microsoft.com/office/drawing/2014/main" id="{1B56793E-978B-F60C-F147-40EFE806FD1E}"/>
            </a:ext>
          </a:extLst>
        </xdr:cNvPr>
        <xdr:cNvSpPr/>
      </xdr:nvSpPr>
      <xdr:spPr>
        <a:xfrm>
          <a:off x="15240" y="7619"/>
          <a:ext cx="1718786" cy="6612256"/>
        </a:xfrm>
        <a:prstGeom prst="rect">
          <a:avLst/>
        </a:prstGeom>
        <a:solidFill>
          <a:schemeClr val="tx2">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50800</xdr:colOff>
      <xdr:row>3</xdr:row>
      <xdr:rowOff>104463</xdr:rowOff>
    </xdr:from>
    <xdr:to>
      <xdr:col>1</xdr:col>
      <xdr:colOff>1208616</xdr:colOff>
      <xdr:row>5</xdr:row>
      <xdr:rowOff>26841</xdr:rowOff>
    </xdr:to>
    <xdr:sp macro="" textlink="Pivots!G4">
      <xdr:nvSpPr>
        <xdr:cNvPr id="4" name="TextBox 3">
          <a:extLst>
            <a:ext uri="{FF2B5EF4-FFF2-40B4-BE49-F238E27FC236}">
              <a16:creationId xmlns:a16="http://schemas.microsoft.com/office/drawing/2014/main" id="{F45DE153-768E-8B1E-275F-752E7A6D9BF7}"/>
            </a:ext>
          </a:extLst>
        </xdr:cNvPr>
        <xdr:cNvSpPr txBox="1"/>
      </xdr:nvSpPr>
      <xdr:spPr>
        <a:xfrm>
          <a:off x="50800" y="653103"/>
          <a:ext cx="1391496" cy="28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D9D248-D854-4F1E-9A6C-207481B006BC}" type="TxLink">
            <a:rPr lang="en-US" sz="1400" b="1" i="0" u="none" strike="noStrike">
              <a:gradFill>
                <a:gsLst>
                  <a:gs pos="66000">
                    <a:schemeClr val="bg1">
                      <a:lumMod val="75000"/>
                    </a:schemeClr>
                  </a:gs>
                  <a:gs pos="40000">
                    <a:schemeClr val="bg1"/>
                  </a:gs>
                </a:gsLst>
                <a:lin ang="5400000" scaled="1"/>
              </a:gradFill>
              <a:effectLst>
                <a:outerShdw blurRad="50800" dist="38100" dir="5400000" algn="t" rotWithShape="0">
                  <a:prstClr val="black">
                    <a:alpha val="40000"/>
                  </a:prstClr>
                </a:outerShdw>
              </a:effectLst>
              <a:latin typeface="+mj-lt"/>
            </a:rPr>
            <a:pPr/>
            <a:t>2,400</a:t>
          </a:fld>
          <a:endParaRPr lang="en-IN" sz="1400" b="1">
            <a:gradFill>
              <a:gsLst>
                <a:gs pos="66000">
                  <a:schemeClr val="bg1">
                    <a:lumMod val="75000"/>
                  </a:schemeClr>
                </a:gs>
                <a:gs pos="40000">
                  <a:schemeClr val="bg1"/>
                </a:gs>
              </a:gsLst>
              <a:lin ang="5400000" scaled="1"/>
            </a:gradFill>
            <a:effectLst>
              <a:outerShdw blurRad="50800" dist="38100" dir="5400000" algn="t" rotWithShape="0">
                <a:prstClr val="black">
                  <a:alpha val="40000"/>
                </a:prstClr>
              </a:outerShdw>
            </a:effectLst>
            <a:latin typeface="+mj-lt"/>
          </a:endParaRPr>
        </a:p>
      </xdr:txBody>
    </xdr:sp>
    <xdr:clientData/>
  </xdr:twoCellAnchor>
  <xdr:twoCellAnchor>
    <xdr:from>
      <xdr:col>0</xdr:col>
      <xdr:colOff>30480</xdr:colOff>
      <xdr:row>6</xdr:row>
      <xdr:rowOff>28960</xdr:rowOff>
    </xdr:from>
    <xdr:to>
      <xdr:col>1</xdr:col>
      <xdr:colOff>1181203</xdr:colOff>
      <xdr:row>7</xdr:row>
      <xdr:rowOff>105516</xdr:rowOff>
    </xdr:to>
    <xdr:sp macro="" textlink="Pivots!H4">
      <xdr:nvSpPr>
        <xdr:cNvPr id="5" name="TextBox 4">
          <a:extLst>
            <a:ext uri="{FF2B5EF4-FFF2-40B4-BE49-F238E27FC236}">
              <a16:creationId xmlns:a16="http://schemas.microsoft.com/office/drawing/2014/main" id="{4798D05B-5FD2-3FB0-8F4D-F0CDD2F266B8}"/>
            </a:ext>
          </a:extLst>
        </xdr:cNvPr>
        <xdr:cNvSpPr txBox="1"/>
      </xdr:nvSpPr>
      <xdr:spPr>
        <a:xfrm>
          <a:off x="30480" y="1126240"/>
          <a:ext cx="1384403" cy="259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A4FA10-DEFD-414E-BE62-A5EEC94F2149}" type="TxLink">
            <a:rPr lang="en-US" sz="1400" b="1" i="0" u="none" strike="noStrike">
              <a:gradFill>
                <a:gsLst>
                  <a:gs pos="66000">
                    <a:schemeClr val="bg1">
                      <a:lumMod val="75000"/>
                    </a:schemeClr>
                  </a:gs>
                  <a:gs pos="40000">
                    <a:schemeClr val="bg1"/>
                  </a:gs>
                </a:gsLst>
                <a:lin ang="5400000" scaled="1"/>
              </a:gradFill>
              <a:effectLst>
                <a:outerShdw blurRad="50800" dist="38100" dir="5400000" algn="t" rotWithShape="0">
                  <a:prstClr val="black">
                    <a:alpha val="40000"/>
                  </a:prstClr>
                </a:outerShdw>
              </a:effectLst>
              <a:latin typeface="+mj-lt"/>
              <a:ea typeface="+mn-ea"/>
              <a:cs typeface="+mn-cs"/>
            </a:rPr>
            <a:pPr marL="0" indent="0"/>
            <a:t>11,997</a:t>
          </a:fld>
          <a:endParaRPr lang="en-IN" sz="1400" b="1" i="0" u="none" strike="noStrike">
            <a:gradFill>
              <a:gsLst>
                <a:gs pos="66000">
                  <a:schemeClr val="bg1">
                    <a:lumMod val="75000"/>
                  </a:schemeClr>
                </a:gs>
                <a:gs pos="40000">
                  <a:schemeClr val="bg1"/>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20320</xdr:colOff>
      <xdr:row>8</xdr:row>
      <xdr:rowOff>145458</xdr:rowOff>
    </xdr:from>
    <xdr:to>
      <xdr:col>1</xdr:col>
      <xdr:colOff>1171043</xdr:colOff>
      <xdr:row>10</xdr:row>
      <xdr:rowOff>26964</xdr:rowOff>
    </xdr:to>
    <xdr:sp macro="" textlink="Pivots!I4">
      <xdr:nvSpPr>
        <xdr:cNvPr id="6" name="TextBox 5">
          <a:extLst>
            <a:ext uri="{FF2B5EF4-FFF2-40B4-BE49-F238E27FC236}">
              <a16:creationId xmlns:a16="http://schemas.microsoft.com/office/drawing/2014/main" id="{5054398C-CFAD-B7F3-D162-5CCF87484BA0}"/>
            </a:ext>
          </a:extLst>
        </xdr:cNvPr>
        <xdr:cNvSpPr txBox="1"/>
      </xdr:nvSpPr>
      <xdr:spPr>
        <a:xfrm>
          <a:off x="20320" y="1608498"/>
          <a:ext cx="1384403" cy="2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670E8E-59E6-4B20-ADD9-C98C6C8DEA87}" type="TxLink">
            <a:rPr lang="en-US" sz="1400" b="1" i="0" u="none" strike="noStrike">
              <a:gradFill>
                <a:gsLst>
                  <a:gs pos="66000">
                    <a:schemeClr val="bg1">
                      <a:lumMod val="75000"/>
                    </a:schemeClr>
                  </a:gs>
                  <a:gs pos="40000">
                    <a:schemeClr val="bg1"/>
                  </a:gs>
                </a:gsLst>
                <a:lin ang="5400000" scaled="1"/>
              </a:gradFill>
              <a:effectLst>
                <a:outerShdw blurRad="50800" dist="38100" dir="5400000" algn="t" rotWithShape="0">
                  <a:prstClr val="black">
                    <a:alpha val="40000"/>
                  </a:prstClr>
                </a:outerShdw>
              </a:effectLst>
              <a:latin typeface="+mj-lt"/>
              <a:ea typeface="+mn-ea"/>
              <a:cs typeface="+mn-cs"/>
            </a:rPr>
            <a:pPr marL="0" indent="0"/>
            <a:t>$649.0k</a:t>
          </a:fld>
          <a:endParaRPr lang="en-IN" sz="1400" b="1" i="0" u="none" strike="noStrike">
            <a:gradFill>
              <a:gsLst>
                <a:gs pos="66000">
                  <a:schemeClr val="bg1">
                    <a:lumMod val="75000"/>
                  </a:schemeClr>
                </a:gs>
                <a:gs pos="40000">
                  <a:schemeClr val="bg1"/>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10160</xdr:colOff>
      <xdr:row>11</xdr:row>
      <xdr:rowOff>89694</xdr:rowOff>
    </xdr:from>
    <xdr:to>
      <xdr:col>1</xdr:col>
      <xdr:colOff>1160883</xdr:colOff>
      <xdr:row>12</xdr:row>
      <xdr:rowOff>170800</xdr:rowOff>
    </xdr:to>
    <xdr:sp macro="" textlink="Pivots!J4">
      <xdr:nvSpPr>
        <xdr:cNvPr id="7" name="TextBox 6">
          <a:extLst>
            <a:ext uri="{FF2B5EF4-FFF2-40B4-BE49-F238E27FC236}">
              <a16:creationId xmlns:a16="http://schemas.microsoft.com/office/drawing/2014/main" id="{6AE1CA16-BF9F-56DF-AB05-74F2DB09CC38}"/>
            </a:ext>
          </a:extLst>
        </xdr:cNvPr>
        <xdr:cNvSpPr txBox="1"/>
      </xdr:nvSpPr>
      <xdr:spPr>
        <a:xfrm>
          <a:off x="10160" y="2074905"/>
          <a:ext cx="1391355" cy="261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B758245-B410-42C2-B0CB-C6B8E45E3856}" type="TxLink">
            <a:rPr lang="en-US" sz="1400" b="1" i="0" u="none" strike="noStrike">
              <a:gradFill>
                <a:gsLst>
                  <a:gs pos="66000">
                    <a:schemeClr val="bg1">
                      <a:lumMod val="75000"/>
                    </a:schemeClr>
                  </a:gs>
                  <a:gs pos="40000">
                    <a:schemeClr val="bg1"/>
                  </a:gs>
                </a:gsLst>
                <a:lin ang="5400000" scaled="1"/>
              </a:gradFill>
              <a:effectLst>
                <a:outerShdw blurRad="50800" dist="38100" dir="5400000" algn="t" rotWithShape="0">
                  <a:prstClr val="black">
                    <a:alpha val="40000"/>
                  </a:prstClr>
                </a:outerShdw>
              </a:effectLst>
              <a:latin typeface="+mj-lt"/>
              <a:ea typeface="+mn-ea"/>
              <a:cs typeface="+mn-cs"/>
            </a:rPr>
            <a:pPr marL="0" indent="0"/>
            <a:t>2.3</a:t>
          </a:fld>
          <a:endParaRPr lang="en-IN" sz="1400" b="1" i="0" u="none" strike="noStrike">
            <a:gradFill>
              <a:gsLst>
                <a:gs pos="66000">
                  <a:schemeClr val="bg1">
                    <a:lumMod val="75000"/>
                  </a:schemeClr>
                </a:gs>
                <a:gs pos="40000">
                  <a:schemeClr val="bg1"/>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15957</xdr:colOff>
      <xdr:row>14</xdr:row>
      <xdr:rowOff>44085</xdr:rowOff>
    </xdr:from>
    <xdr:to>
      <xdr:col>1</xdr:col>
      <xdr:colOff>1166680</xdr:colOff>
      <xdr:row>15</xdr:row>
      <xdr:rowOff>97537</xdr:rowOff>
    </xdr:to>
    <xdr:sp macro="" textlink="Pivots!K4">
      <xdr:nvSpPr>
        <xdr:cNvPr id="8" name="TextBox 7">
          <a:extLst>
            <a:ext uri="{FF2B5EF4-FFF2-40B4-BE49-F238E27FC236}">
              <a16:creationId xmlns:a16="http://schemas.microsoft.com/office/drawing/2014/main" id="{CE76D8F7-2652-8806-568E-9DEEC99AEC06}"/>
            </a:ext>
          </a:extLst>
        </xdr:cNvPr>
        <xdr:cNvSpPr txBox="1"/>
      </xdr:nvSpPr>
      <xdr:spPr>
        <a:xfrm>
          <a:off x="15957" y="2604405"/>
          <a:ext cx="1384403" cy="23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759427-3A52-4670-964E-144C5FB5D4E6}" type="TxLink">
            <a:rPr lang="en-US" sz="1400" b="1" i="0" u="none" strike="noStrike">
              <a:gradFill>
                <a:gsLst>
                  <a:gs pos="66000">
                    <a:schemeClr val="bg1">
                      <a:lumMod val="75000"/>
                    </a:schemeClr>
                  </a:gs>
                  <a:gs pos="40000">
                    <a:schemeClr val="bg1"/>
                  </a:gs>
                </a:gsLst>
                <a:lin ang="5400000" scaled="1"/>
              </a:gradFill>
              <a:effectLst>
                <a:outerShdw blurRad="50800" dist="38100" dir="5400000" algn="t" rotWithShape="0">
                  <a:prstClr val="black">
                    <a:alpha val="40000"/>
                  </a:prstClr>
                </a:outerShdw>
              </a:effectLst>
              <a:latin typeface="+mj-lt"/>
              <a:ea typeface="+mn-ea"/>
              <a:cs typeface="+mn-cs"/>
            </a:rPr>
            <a:pPr marL="0" indent="0"/>
            <a:t>4.0</a:t>
          </a:fld>
          <a:endParaRPr lang="en-IN" sz="1400" b="1" i="0" u="none" strike="noStrike">
            <a:gradFill>
              <a:gsLst>
                <a:gs pos="66000">
                  <a:schemeClr val="bg1">
                    <a:lumMod val="75000"/>
                  </a:schemeClr>
                </a:gs>
                <a:gs pos="40000">
                  <a:schemeClr val="bg1"/>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0</xdr:colOff>
      <xdr:row>2</xdr:row>
      <xdr:rowOff>92928</xdr:rowOff>
    </xdr:from>
    <xdr:to>
      <xdr:col>2</xdr:col>
      <xdr:colOff>63414</xdr:colOff>
      <xdr:row>3</xdr:row>
      <xdr:rowOff>165139</xdr:rowOff>
    </xdr:to>
    <xdr:sp macro="" textlink="">
      <xdr:nvSpPr>
        <xdr:cNvPr id="9" name="TextBox 8">
          <a:extLst>
            <a:ext uri="{FF2B5EF4-FFF2-40B4-BE49-F238E27FC236}">
              <a16:creationId xmlns:a16="http://schemas.microsoft.com/office/drawing/2014/main" id="{BC77CFB9-4C53-DB1A-956A-6B6148B9233A}"/>
            </a:ext>
          </a:extLst>
        </xdr:cNvPr>
        <xdr:cNvSpPr txBox="1"/>
      </xdr:nvSpPr>
      <xdr:spPr>
        <a:xfrm>
          <a:off x="0" y="453875"/>
          <a:ext cx="1557335" cy="252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100">
              <a:solidFill>
                <a:schemeClr val="bg1"/>
              </a:solidFill>
            </a:rPr>
            <a:t>Orders</a:t>
          </a:r>
        </a:p>
      </xdr:txBody>
    </xdr:sp>
    <xdr:clientData/>
  </xdr:twoCellAnchor>
  <xdr:twoCellAnchor>
    <xdr:from>
      <xdr:col>0</xdr:col>
      <xdr:colOff>0</xdr:colOff>
      <xdr:row>5</xdr:row>
      <xdr:rowOff>27928</xdr:rowOff>
    </xdr:from>
    <xdr:to>
      <xdr:col>2</xdr:col>
      <xdr:colOff>63414</xdr:colOff>
      <xdr:row>6</xdr:row>
      <xdr:rowOff>89368</xdr:rowOff>
    </xdr:to>
    <xdr:sp macro="" textlink="">
      <xdr:nvSpPr>
        <xdr:cNvPr id="18" name="TextBox 17">
          <a:extLst>
            <a:ext uri="{FF2B5EF4-FFF2-40B4-BE49-F238E27FC236}">
              <a16:creationId xmlns:a16="http://schemas.microsoft.com/office/drawing/2014/main" id="{DE15FFE6-5407-C790-1278-8D58C27F8B69}"/>
            </a:ext>
          </a:extLst>
        </xdr:cNvPr>
        <xdr:cNvSpPr txBox="1"/>
      </xdr:nvSpPr>
      <xdr:spPr>
        <a:xfrm>
          <a:off x="0" y="930296"/>
          <a:ext cx="1557335" cy="241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👕Quantity</a:t>
          </a:r>
        </a:p>
      </xdr:txBody>
    </xdr:sp>
    <xdr:clientData/>
  </xdr:twoCellAnchor>
  <xdr:twoCellAnchor>
    <xdr:from>
      <xdr:col>0</xdr:col>
      <xdr:colOff>0</xdr:colOff>
      <xdr:row>7</xdr:row>
      <xdr:rowOff>134810</xdr:rowOff>
    </xdr:from>
    <xdr:to>
      <xdr:col>2</xdr:col>
      <xdr:colOff>63414</xdr:colOff>
      <xdr:row>9</xdr:row>
      <xdr:rowOff>60158</xdr:rowOff>
    </xdr:to>
    <xdr:sp macro="" textlink="">
      <xdr:nvSpPr>
        <xdr:cNvPr id="19" name="TextBox 18">
          <a:extLst>
            <a:ext uri="{FF2B5EF4-FFF2-40B4-BE49-F238E27FC236}">
              <a16:creationId xmlns:a16="http://schemas.microsoft.com/office/drawing/2014/main" id="{49C6026A-A199-B238-A9E9-E2A21841E25D}"/>
            </a:ext>
          </a:extLst>
        </xdr:cNvPr>
        <xdr:cNvSpPr txBox="1"/>
      </xdr:nvSpPr>
      <xdr:spPr>
        <a:xfrm>
          <a:off x="0" y="1398126"/>
          <a:ext cx="1557335" cy="286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💰Amount</a:t>
          </a:r>
        </a:p>
      </xdr:txBody>
    </xdr:sp>
    <xdr:clientData/>
  </xdr:twoCellAnchor>
  <xdr:twoCellAnchor>
    <xdr:from>
      <xdr:col>0</xdr:col>
      <xdr:colOff>0</xdr:colOff>
      <xdr:row>10</xdr:row>
      <xdr:rowOff>97706</xdr:rowOff>
    </xdr:from>
    <xdr:to>
      <xdr:col>2</xdr:col>
      <xdr:colOff>63414</xdr:colOff>
      <xdr:row>12</xdr:row>
      <xdr:rowOff>12573</xdr:rowOff>
    </xdr:to>
    <xdr:sp macro="" textlink="">
      <xdr:nvSpPr>
        <xdr:cNvPr id="20" name="TextBox 19">
          <a:extLst>
            <a:ext uri="{FF2B5EF4-FFF2-40B4-BE49-F238E27FC236}">
              <a16:creationId xmlns:a16="http://schemas.microsoft.com/office/drawing/2014/main" id="{C1B74B3A-38C1-D2DD-E850-34909516124A}"/>
            </a:ext>
          </a:extLst>
        </xdr:cNvPr>
        <xdr:cNvSpPr txBox="1"/>
      </xdr:nvSpPr>
      <xdr:spPr>
        <a:xfrm>
          <a:off x="0" y="1902443"/>
          <a:ext cx="1557335" cy="27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⭐Avg. Rating</a:t>
          </a:r>
        </a:p>
      </xdr:txBody>
    </xdr:sp>
    <xdr:clientData/>
  </xdr:twoCellAnchor>
  <xdr:twoCellAnchor>
    <xdr:from>
      <xdr:col>0</xdr:col>
      <xdr:colOff>0</xdr:colOff>
      <xdr:row>13</xdr:row>
      <xdr:rowOff>53214</xdr:rowOff>
    </xdr:from>
    <xdr:to>
      <xdr:col>2</xdr:col>
      <xdr:colOff>63414</xdr:colOff>
      <xdr:row>14</xdr:row>
      <xdr:rowOff>160787</xdr:rowOff>
    </xdr:to>
    <xdr:sp macro="" textlink="">
      <xdr:nvSpPr>
        <xdr:cNvPr id="21" name="TextBox 20">
          <a:extLst>
            <a:ext uri="{FF2B5EF4-FFF2-40B4-BE49-F238E27FC236}">
              <a16:creationId xmlns:a16="http://schemas.microsoft.com/office/drawing/2014/main" id="{97B476A6-35C7-45AF-B360-C7327DA62DAB}"/>
            </a:ext>
          </a:extLst>
        </xdr:cNvPr>
        <xdr:cNvSpPr txBox="1"/>
      </xdr:nvSpPr>
      <xdr:spPr>
        <a:xfrm>
          <a:off x="0" y="2399372"/>
          <a:ext cx="1557335" cy="288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🗓️Days</a:t>
          </a:r>
          <a:r>
            <a:rPr lang="en-IN" sz="1100" baseline="0">
              <a:solidFill>
                <a:schemeClr val="bg1"/>
              </a:solidFill>
            </a:rPr>
            <a:t> To Deliver</a:t>
          </a:r>
          <a:endParaRPr lang="en-IN" sz="1100">
            <a:solidFill>
              <a:schemeClr val="bg1"/>
            </a:solidFill>
          </a:endParaRPr>
        </a:p>
      </xdr:txBody>
    </xdr:sp>
    <xdr:clientData/>
  </xdr:twoCellAnchor>
  <xdr:twoCellAnchor>
    <xdr:from>
      <xdr:col>3</xdr:col>
      <xdr:colOff>355146</xdr:colOff>
      <xdr:row>0</xdr:row>
      <xdr:rowOff>123594</xdr:rowOff>
    </xdr:from>
    <xdr:to>
      <xdr:col>10</xdr:col>
      <xdr:colOff>341312</xdr:colOff>
      <xdr:row>12</xdr:row>
      <xdr:rowOff>119062</xdr:rowOff>
    </xdr:to>
    <xdr:graphicFrame macro="">
      <xdr:nvGraphicFramePr>
        <xdr:cNvPr id="22" name="Chart 21">
          <a:extLst>
            <a:ext uri="{FF2B5EF4-FFF2-40B4-BE49-F238E27FC236}">
              <a16:creationId xmlns:a16="http://schemas.microsoft.com/office/drawing/2014/main" id="{53F0ED5A-9F1F-4E96-9321-3632CFC82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74685</xdr:colOff>
      <xdr:row>1</xdr:row>
      <xdr:rowOff>34902</xdr:rowOff>
    </xdr:from>
    <xdr:to>
      <xdr:col>17</xdr:col>
      <xdr:colOff>369094</xdr:colOff>
      <xdr:row>12</xdr:row>
      <xdr:rowOff>83343</xdr:rowOff>
    </xdr:to>
    <xdr:sp macro="" textlink="">
      <xdr:nvSpPr>
        <xdr:cNvPr id="13" name="Rectangle 12">
          <a:extLst>
            <a:ext uri="{FF2B5EF4-FFF2-40B4-BE49-F238E27FC236}">
              <a16:creationId xmlns:a16="http://schemas.microsoft.com/office/drawing/2014/main" id="{CFF37043-9AB7-5F08-9C77-D51A34F59297}"/>
            </a:ext>
          </a:extLst>
        </xdr:cNvPr>
        <xdr:cNvSpPr/>
      </xdr:nvSpPr>
      <xdr:spPr>
        <a:xfrm>
          <a:off x="6658841" y="213496"/>
          <a:ext cx="3937722" cy="201297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236802</xdr:colOff>
          <xdr:row>2</xdr:row>
          <xdr:rowOff>166686</xdr:rowOff>
        </xdr:from>
        <xdr:to>
          <xdr:col>17</xdr:col>
          <xdr:colOff>156828</xdr:colOff>
          <xdr:row>10</xdr:row>
          <xdr:rowOff>130967</xdr:rowOff>
        </xdr:to>
        <xdr:pic>
          <xdr:nvPicPr>
            <xdr:cNvPr id="12" name="Picture 11">
              <a:extLst>
                <a:ext uri="{FF2B5EF4-FFF2-40B4-BE49-F238E27FC236}">
                  <a16:creationId xmlns:a16="http://schemas.microsoft.com/office/drawing/2014/main" id="{21986391-7C71-7BC1-EAB3-01CC6905085E}"/>
                </a:ext>
              </a:extLst>
            </xdr:cNvPr>
            <xdr:cNvPicPr>
              <a:picLocks noChangeAspect="1" noChangeArrowheads="1"/>
              <a:extLst>
                <a:ext uri="{84589F7E-364E-4C9E-8A38-B11213B215E9}">
                  <a14:cameraTool cellRange="Sheet1!$H$4:$L$9" spid="_x0000_s1239"/>
                </a:ext>
              </a:extLst>
            </xdr:cNvPicPr>
          </xdr:nvPicPr>
          <xdr:blipFill>
            <a:blip xmlns:r="http://schemas.openxmlformats.org/officeDocument/2006/relationships" r:embed="rId2"/>
            <a:srcRect/>
            <a:stretch>
              <a:fillRect/>
            </a:stretch>
          </xdr:blipFill>
          <xdr:spPr bwMode="auto">
            <a:xfrm>
              <a:off x="6820958" y="523874"/>
              <a:ext cx="3563339" cy="13930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71437</xdr:colOff>
      <xdr:row>0</xdr:row>
      <xdr:rowOff>168139</xdr:rowOff>
    </xdr:from>
    <xdr:to>
      <xdr:col>23</xdr:col>
      <xdr:colOff>515155</xdr:colOff>
      <xdr:row>12</xdr:row>
      <xdr:rowOff>154779</xdr:rowOff>
    </xdr:to>
    <xdr:graphicFrame macro="">
      <xdr:nvGraphicFramePr>
        <xdr:cNvPr id="14" name="Chart 13">
          <a:extLst>
            <a:ext uri="{FF2B5EF4-FFF2-40B4-BE49-F238E27FC236}">
              <a16:creationId xmlns:a16="http://schemas.microsoft.com/office/drawing/2014/main" id="{68C2C672-63BF-4E72-9EDE-39E74A144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370417</xdr:colOff>
      <xdr:row>13</xdr:row>
      <xdr:rowOff>50270</xdr:rowOff>
    </xdr:from>
    <xdr:to>
      <xdr:col>10</xdr:col>
      <xdr:colOff>275167</xdr:colOff>
      <xdr:row>36</xdr:row>
      <xdr:rowOff>2647</xdr:rowOff>
    </xdr:to>
    <xdr:graphicFrame macro="">
      <xdr:nvGraphicFramePr>
        <xdr:cNvPr id="15" name="Chart 14">
          <a:extLst>
            <a:ext uri="{FF2B5EF4-FFF2-40B4-BE49-F238E27FC236}">
              <a16:creationId xmlns:a16="http://schemas.microsoft.com/office/drawing/2014/main" id="{F0D7E714-9BC5-4EEE-B2F0-4F3536699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550333</xdr:colOff>
      <xdr:row>26</xdr:row>
      <xdr:rowOff>74084</xdr:rowOff>
    </xdr:from>
    <xdr:to>
      <xdr:col>8</xdr:col>
      <xdr:colOff>285749</xdr:colOff>
      <xdr:row>34</xdr:row>
      <xdr:rowOff>42334</xdr:rowOff>
    </xdr:to>
    <xdr:graphicFrame macro="">
      <xdr:nvGraphicFramePr>
        <xdr:cNvPr id="16" name="Chart 15">
          <a:extLst>
            <a:ext uri="{FF2B5EF4-FFF2-40B4-BE49-F238E27FC236}">
              <a16:creationId xmlns:a16="http://schemas.microsoft.com/office/drawing/2014/main" id="{089A1C5A-8509-4963-A6F5-5EDE5FF10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342121</xdr:colOff>
      <xdr:row>14</xdr:row>
      <xdr:rowOff>2</xdr:rowOff>
    </xdr:from>
    <xdr:to>
      <xdr:col>23</xdr:col>
      <xdr:colOff>202163</xdr:colOff>
      <xdr:row>23</xdr:row>
      <xdr:rowOff>77757</xdr:rowOff>
    </xdr:to>
    <xdr:graphicFrame macro="">
      <xdr:nvGraphicFramePr>
        <xdr:cNvPr id="24" name="Chart 23">
          <a:extLst>
            <a:ext uri="{FF2B5EF4-FFF2-40B4-BE49-F238E27FC236}">
              <a16:creationId xmlns:a16="http://schemas.microsoft.com/office/drawing/2014/main" id="{F52B36BC-7C0E-4209-8B37-0DE082EC7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62206</xdr:colOff>
      <xdr:row>24</xdr:row>
      <xdr:rowOff>139958</xdr:rowOff>
    </xdr:from>
    <xdr:to>
      <xdr:col>23</xdr:col>
      <xdr:colOff>450981</xdr:colOff>
      <xdr:row>35</xdr:row>
      <xdr:rowOff>124408</xdr:rowOff>
    </xdr:to>
    <xdr:graphicFrame macro="">
      <xdr:nvGraphicFramePr>
        <xdr:cNvPr id="25" name="Chart 24">
          <a:extLst>
            <a:ext uri="{FF2B5EF4-FFF2-40B4-BE49-F238E27FC236}">
              <a16:creationId xmlns:a16="http://schemas.microsoft.com/office/drawing/2014/main" id="{55ABFD0C-030A-4631-A7E6-B2D28823C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126602</xdr:colOff>
      <xdr:row>16</xdr:row>
      <xdr:rowOff>49216</xdr:rowOff>
    </xdr:from>
    <xdr:to>
      <xdr:col>2</xdr:col>
      <xdr:colOff>145086</xdr:colOff>
      <xdr:row>26</xdr:row>
      <xdr:rowOff>601</xdr:rowOff>
    </xdr:to>
    <mc:AlternateContent xmlns:mc="http://schemas.openxmlformats.org/markup-compatibility/2006" xmlns:a14="http://schemas.microsoft.com/office/drawing/2010/main">
      <mc:Choice Requires="a14">
        <xdr:graphicFrame macro="">
          <xdr:nvGraphicFramePr>
            <xdr:cNvPr id="28" name="Order Mode">
              <a:extLst>
                <a:ext uri="{FF2B5EF4-FFF2-40B4-BE49-F238E27FC236}">
                  <a16:creationId xmlns:a16="http://schemas.microsoft.com/office/drawing/2014/main" id="{E8E1382A-AC53-4479-B113-C83E36BF286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26602" y="2968427"/>
              <a:ext cx="1499554" cy="1771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102207</xdr:colOff>
      <xdr:row>27</xdr:row>
      <xdr:rowOff>46969</xdr:rowOff>
    </xdr:from>
    <xdr:to>
      <xdr:col>2</xdr:col>
      <xdr:colOff>132287</xdr:colOff>
      <xdr:row>35</xdr:row>
      <xdr:rowOff>111564</xdr:rowOff>
    </xdr:to>
    <mc:AlternateContent xmlns:mc="http://schemas.openxmlformats.org/markup-compatibility/2006" xmlns:a14="http://schemas.microsoft.com/office/drawing/2010/main">
      <mc:Choice Requires="a14">
        <xdr:graphicFrame macro="">
          <xdr:nvGraphicFramePr>
            <xdr:cNvPr id="29" name="Gender Value">
              <a:extLst>
                <a:ext uri="{FF2B5EF4-FFF2-40B4-BE49-F238E27FC236}">
                  <a16:creationId xmlns:a16="http://schemas.microsoft.com/office/drawing/2014/main" id="{AABA77EA-B915-47A9-89DC-F57DE183A66F}"/>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02207" y="4973138"/>
              <a:ext cx="1511150" cy="1524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53661</xdr:colOff>
      <xdr:row>14</xdr:row>
      <xdr:rowOff>50548</xdr:rowOff>
    </xdr:from>
    <xdr:to>
      <xdr:col>17</xdr:col>
      <xdr:colOff>386365</xdr:colOff>
      <xdr:row>35</xdr:row>
      <xdr:rowOff>118055</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8D88D1CB-FE1F-4134-BBF4-81A0A8F985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652581" y="2610868"/>
              <a:ext cx="3990304" cy="39079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286590</xdr:colOff>
      <xdr:row>18</xdr:row>
      <xdr:rowOff>114512</xdr:rowOff>
    </xdr:from>
    <xdr:to>
      <xdr:col>17</xdr:col>
      <xdr:colOff>150254</xdr:colOff>
      <xdr:row>27</xdr:row>
      <xdr:rowOff>96592</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34A8B555-6897-4824-9542-70F14771ED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323910" y="3406352"/>
              <a:ext cx="1082864" cy="1628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465667</xdr:colOff>
      <xdr:row>1</xdr:row>
      <xdr:rowOff>84667</xdr:rowOff>
    </xdr:from>
    <xdr:to>
      <xdr:col>15</xdr:col>
      <xdr:colOff>497417</xdr:colOff>
      <xdr:row>2</xdr:row>
      <xdr:rowOff>169335</xdr:rowOff>
    </xdr:to>
    <xdr:sp macro="" textlink="">
      <xdr:nvSpPr>
        <xdr:cNvPr id="17" name="TextBox 16">
          <a:extLst>
            <a:ext uri="{FF2B5EF4-FFF2-40B4-BE49-F238E27FC236}">
              <a16:creationId xmlns:a16="http://schemas.microsoft.com/office/drawing/2014/main" id="{F1DD55DC-B09C-37E7-F1A6-726531291719}"/>
            </a:ext>
          </a:extLst>
        </xdr:cNvPr>
        <xdr:cNvSpPr txBox="1"/>
      </xdr:nvSpPr>
      <xdr:spPr>
        <a:xfrm>
          <a:off x="7704667" y="264584"/>
          <a:ext cx="1873250" cy="264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How they like to buy?</a:t>
          </a:r>
        </a:p>
      </xdr:txBody>
    </xdr:sp>
    <xdr:clientData/>
  </xdr:twoCellAnchor>
  <xdr:twoCellAnchor>
    <xdr:from>
      <xdr:col>3</xdr:col>
      <xdr:colOff>497417</xdr:colOff>
      <xdr:row>13</xdr:row>
      <xdr:rowOff>127000</xdr:rowOff>
    </xdr:from>
    <xdr:to>
      <xdr:col>10</xdr:col>
      <xdr:colOff>127000</xdr:colOff>
      <xdr:row>15</xdr:row>
      <xdr:rowOff>74083</xdr:rowOff>
    </xdr:to>
    <xdr:sp macro="" textlink="">
      <xdr:nvSpPr>
        <xdr:cNvPr id="23" name="TextBox 22">
          <a:extLst>
            <a:ext uri="{FF2B5EF4-FFF2-40B4-BE49-F238E27FC236}">
              <a16:creationId xmlns:a16="http://schemas.microsoft.com/office/drawing/2014/main" id="{34A43249-E178-A507-11F4-B894D557C63F}"/>
            </a:ext>
          </a:extLst>
        </xdr:cNvPr>
        <xdr:cNvSpPr txBox="1"/>
      </xdr:nvSpPr>
      <xdr:spPr>
        <a:xfrm>
          <a:off x="2211917" y="2465917"/>
          <a:ext cx="3926416" cy="3069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Which</a:t>
          </a:r>
          <a:r>
            <a:rPr lang="en-IN" sz="1400" b="1" baseline="0"/>
            <a:t> Products are Popular? </a:t>
          </a:r>
          <a:r>
            <a:rPr lang="en-IN" sz="1400" b="0" baseline="0">
              <a:solidFill>
                <a:schemeClr val="tx1">
                  <a:lumMod val="50000"/>
                  <a:lumOff val="50000"/>
                </a:schemeClr>
              </a:solidFill>
            </a:rPr>
            <a:t>Breakdown by Gender</a:t>
          </a:r>
          <a:endParaRPr lang="en-IN" sz="1400" b="1">
            <a:solidFill>
              <a:schemeClr val="tx1">
                <a:lumMod val="50000"/>
                <a:lumOff val="50000"/>
              </a:schemeClr>
            </a:solidFill>
          </a:endParaRPr>
        </a:p>
      </xdr:txBody>
    </xdr:sp>
    <xdr:clientData/>
  </xdr:twoCellAnchor>
  <xdr:twoCellAnchor editAs="oneCell">
    <xdr:from>
      <xdr:col>0</xdr:col>
      <xdr:colOff>85918</xdr:colOff>
      <xdr:row>0</xdr:row>
      <xdr:rowOff>50800</xdr:rowOff>
    </xdr:from>
    <xdr:to>
      <xdr:col>2</xdr:col>
      <xdr:colOff>36320</xdr:colOff>
      <xdr:row>2</xdr:row>
      <xdr:rowOff>102903</xdr:rowOff>
    </xdr:to>
    <xdr:pic>
      <xdr:nvPicPr>
        <xdr:cNvPr id="26" name="Picture 25">
          <a:extLst>
            <a:ext uri="{FF2B5EF4-FFF2-40B4-BE49-F238E27FC236}">
              <a16:creationId xmlns:a16="http://schemas.microsoft.com/office/drawing/2014/main" id="{5B3F2248-4DE2-463D-84C2-3E39CF9B3DB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85918" y="50800"/>
          <a:ext cx="1433762" cy="41786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236220</xdr:colOff>
          <xdr:row>2</xdr:row>
          <xdr:rowOff>167640</xdr:rowOff>
        </xdr:from>
        <xdr:to>
          <xdr:col>17</xdr:col>
          <xdr:colOff>160020</xdr:colOff>
          <xdr:row>10</xdr:row>
          <xdr:rowOff>129540</xdr:rowOff>
        </xdr:to>
        <xdr:pic>
          <xdr:nvPicPr>
            <xdr:cNvPr id="1164" name="Picture 11">
              <a:extLst>
                <a:ext uri="{FF2B5EF4-FFF2-40B4-BE49-F238E27FC236}">
                  <a16:creationId xmlns:a16="http://schemas.microsoft.com/office/drawing/2014/main" id="{B99D0AAE-8505-1989-D86F-F191B28FE97A}"/>
                </a:ext>
              </a:extLst>
            </xdr:cNvPr>
            <xdr:cNvPicPr>
              <a:picLocks noChangeAspect="1" noChangeArrowheads="1"/>
              <a:extLst>
                <a:ext uri="{84589F7E-364E-4C9E-8A38-B11213B215E9}">
                  <a14:cameraTool cellRange="Sheet1!$H$4:$L$9" spid="_x0000_s1240"/>
                </a:ext>
              </a:extLst>
            </xdr:cNvPicPr>
          </xdr:nvPicPr>
          <xdr:blipFill>
            <a:blip xmlns:r="http://schemas.openxmlformats.org/officeDocument/2006/relationships" r:embed="rId11"/>
            <a:srcRect/>
            <a:stretch>
              <a:fillRect/>
            </a:stretch>
          </xdr:blipFill>
          <xdr:spPr bwMode="auto">
            <a:xfrm>
              <a:off x="6835140" y="533400"/>
              <a:ext cx="3581400" cy="14249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2</xdr:row>
          <xdr:rowOff>167640</xdr:rowOff>
        </xdr:from>
        <xdr:to>
          <xdr:col>17</xdr:col>
          <xdr:colOff>160020</xdr:colOff>
          <xdr:row>10</xdr:row>
          <xdr:rowOff>129540</xdr:rowOff>
        </xdr:to>
        <xdr:pic>
          <xdr:nvPicPr>
            <xdr:cNvPr id="1195" name="Picture 11">
              <a:extLst>
                <a:ext uri="{FF2B5EF4-FFF2-40B4-BE49-F238E27FC236}">
                  <a16:creationId xmlns:a16="http://schemas.microsoft.com/office/drawing/2014/main" id="{120D513A-6203-9E65-5C97-90ADB4DFD4BC}"/>
                </a:ext>
              </a:extLst>
            </xdr:cNvPr>
            <xdr:cNvPicPr>
              <a:picLocks noChangeAspect="1" noChangeArrowheads="1"/>
              <a:extLst>
                <a:ext uri="{84589F7E-364E-4C9E-8A38-B11213B215E9}">
                  <a14:cameraTool cellRange="Sheet1!$H$4:$L$9" spid="_x0000_s1241"/>
                </a:ext>
              </a:extLst>
            </xdr:cNvPicPr>
          </xdr:nvPicPr>
          <xdr:blipFill>
            <a:blip xmlns:r="http://schemas.openxmlformats.org/officeDocument/2006/relationships" r:embed="rId11"/>
            <a:srcRect/>
            <a:stretch>
              <a:fillRect/>
            </a:stretch>
          </xdr:blipFill>
          <xdr:spPr bwMode="auto">
            <a:xfrm>
              <a:off x="6835140" y="533400"/>
              <a:ext cx="3581400" cy="14249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236220</xdr:colOff>
          <xdr:row>2</xdr:row>
          <xdr:rowOff>167640</xdr:rowOff>
        </xdr:from>
        <xdr:to>
          <xdr:col>17</xdr:col>
          <xdr:colOff>160020</xdr:colOff>
          <xdr:row>10</xdr:row>
          <xdr:rowOff>129540</xdr:rowOff>
        </xdr:to>
        <xdr:pic>
          <xdr:nvPicPr>
            <xdr:cNvPr id="1196" name="Picture 172">
              <a:extLst>
                <a:ext uri="{FF2B5EF4-FFF2-40B4-BE49-F238E27FC236}">
                  <a16:creationId xmlns:a16="http://schemas.microsoft.com/office/drawing/2014/main" id="{5D609451-C68A-F7BD-BC51-5634612236B7}"/>
                </a:ext>
              </a:extLst>
            </xdr:cNvPr>
            <xdr:cNvPicPr>
              <a:picLocks noChangeAspect="1" noChangeArrowheads="1"/>
              <a:extLst>
                <a:ext uri="{84589F7E-364E-4C9E-8A38-B11213B215E9}">
                  <a14:cameraTool cellRange="Sheet1!$H$4:$L$9" spid="_x0000_s1242"/>
                </a:ext>
              </a:extLst>
            </xdr:cNvPicPr>
          </xdr:nvPicPr>
          <xdr:blipFill>
            <a:blip xmlns:r="http://schemas.openxmlformats.org/officeDocument/2006/relationships" r:embed="rId12"/>
            <a:srcRect/>
            <a:stretch>
              <a:fillRect/>
            </a:stretch>
          </xdr:blipFill>
          <xdr:spPr bwMode="auto">
            <a:xfrm>
              <a:off x="6835140" y="533400"/>
              <a:ext cx="3581400" cy="142494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IL SHARMA" refreshedDate="46130.707929629629" createdVersion="8" refreshedVersion="8" minRefreshableVersion="3" recordCount="2400" xr:uid="{174CD560-F424-424A-BBF6-CF8E3A0D4A01}">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255889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x v="0"/>
    <x v="0"/>
    <d v="2025-01-06T00:00:00"/>
    <x v="0"/>
    <x v="0"/>
    <x v="0"/>
    <x v="0"/>
    <x v="0"/>
    <x v="0"/>
    <x v="0"/>
    <x v="0"/>
  </r>
  <r>
    <s v="TX500002"/>
    <x v="1"/>
    <x v="1"/>
    <n v="30.6"/>
    <x v="1"/>
    <x v="0"/>
    <d v="2025-01-03T00:00:00"/>
    <x v="1"/>
    <x v="0"/>
    <x v="0"/>
    <x v="0"/>
    <x v="1"/>
    <x v="1"/>
    <x v="0"/>
    <x v="1"/>
  </r>
  <r>
    <s v="TX500003"/>
    <x v="2"/>
    <x v="2"/>
    <n v="109.4"/>
    <x v="2"/>
    <x v="0"/>
    <d v="2025-01-04T00:00:00"/>
    <x v="2"/>
    <x v="0"/>
    <x v="1"/>
    <x v="0"/>
    <x v="2"/>
    <x v="2"/>
    <x v="0"/>
    <x v="2"/>
  </r>
  <r>
    <s v="TX500004"/>
    <x v="3"/>
    <x v="3"/>
    <n v="37.700000000000003"/>
    <x v="3"/>
    <x v="0"/>
    <d v="2025-01-02T00:00:00"/>
    <x v="2"/>
    <x v="0"/>
    <x v="0"/>
    <x v="0"/>
    <x v="2"/>
    <x v="3"/>
    <x v="0"/>
    <x v="2"/>
  </r>
  <r>
    <s v="TX500005"/>
    <x v="4"/>
    <x v="2"/>
    <n v="56.7"/>
    <x v="4"/>
    <x v="0"/>
    <d v="2025-01-04T00:00:00"/>
    <x v="2"/>
    <x v="0"/>
    <x v="2"/>
    <x v="0"/>
    <x v="3"/>
    <x v="2"/>
    <x v="0"/>
    <x v="2"/>
  </r>
  <r>
    <s v="TX500006"/>
    <x v="1"/>
    <x v="4"/>
    <n v="83.5"/>
    <x v="5"/>
    <x v="0"/>
    <d v="2025-01-04T00:00:00"/>
    <x v="1"/>
    <x v="1"/>
    <x v="0"/>
    <x v="0"/>
    <x v="3"/>
    <x v="2"/>
    <x v="0"/>
    <x v="1"/>
  </r>
  <r>
    <s v="TX500007"/>
    <x v="5"/>
    <x v="0"/>
    <n v="55.3"/>
    <x v="6"/>
    <x v="0"/>
    <d v="2025-01-02T00:00:00"/>
    <x v="2"/>
    <x v="0"/>
    <x v="0"/>
    <x v="0"/>
    <x v="3"/>
    <x v="3"/>
    <x v="0"/>
    <x v="2"/>
  </r>
  <r>
    <s v="TX500008"/>
    <x v="6"/>
    <x v="1"/>
    <n v="40.299999999999997"/>
    <x v="7"/>
    <x v="0"/>
    <d v="2025-01-02T00:00:00"/>
    <x v="1"/>
    <x v="2"/>
    <x v="2"/>
    <x v="0"/>
    <x v="3"/>
    <x v="3"/>
    <x v="0"/>
    <x v="1"/>
  </r>
  <r>
    <s v="TX500009"/>
    <x v="7"/>
    <x v="5"/>
    <n v="35.700000000000003"/>
    <x v="8"/>
    <x v="0"/>
    <d v="2025-01-02T00:00:00"/>
    <x v="2"/>
    <x v="0"/>
    <x v="0"/>
    <x v="0"/>
    <x v="3"/>
    <x v="3"/>
    <x v="0"/>
    <x v="2"/>
  </r>
  <r>
    <s v="TX500010"/>
    <x v="8"/>
    <x v="3"/>
    <n v="22.4"/>
    <x v="9"/>
    <x v="0"/>
    <d v="2025-01-04T00:00:00"/>
    <x v="1"/>
    <x v="0"/>
    <x v="1"/>
    <x v="0"/>
    <x v="3"/>
    <x v="2"/>
    <x v="0"/>
    <x v="1"/>
  </r>
  <r>
    <s v="TX500011"/>
    <x v="9"/>
    <x v="1"/>
    <n v="54.4"/>
    <x v="10"/>
    <x v="0"/>
    <d v="2025-01-07T00:00:00"/>
    <x v="2"/>
    <x v="0"/>
    <x v="0"/>
    <x v="0"/>
    <x v="3"/>
    <x v="4"/>
    <x v="0"/>
    <x v="2"/>
  </r>
  <r>
    <s v="TX500012"/>
    <x v="9"/>
    <x v="1"/>
    <n v="49"/>
    <x v="11"/>
    <x v="0"/>
    <d v="2025-01-03T00:00:00"/>
    <x v="2"/>
    <x v="2"/>
    <x v="1"/>
    <x v="0"/>
    <x v="3"/>
    <x v="1"/>
    <x v="0"/>
    <x v="2"/>
  </r>
  <r>
    <s v="TX500013"/>
    <x v="5"/>
    <x v="3"/>
    <n v="118.6"/>
    <x v="12"/>
    <x v="0"/>
    <d v="2025-01-05T00:00:00"/>
    <x v="2"/>
    <x v="1"/>
    <x v="0"/>
    <x v="0"/>
    <x v="4"/>
    <x v="5"/>
    <x v="0"/>
    <x v="2"/>
  </r>
  <r>
    <s v="TX500014"/>
    <x v="6"/>
    <x v="6"/>
    <n v="88.4"/>
    <x v="13"/>
    <x v="0"/>
    <d v="2025-01-08T00:00:00"/>
    <x v="1"/>
    <x v="3"/>
    <x v="0"/>
    <x v="0"/>
    <x v="5"/>
    <x v="6"/>
    <x v="0"/>
    <x v="1"/>
  </r>
  <r>
    <s v="TX500015"/>
    <x v="10"/>
    <x v="0"/>
    <n v="66.7"/>
    <x v="14"/>
    <x v="0"/>
    <d v="2025-01-04T00:00:00"/>
    <x v="1"/>
    <x v="0"/>
    <x v="0"/>
    <x v="0"/>
    <x v="6"/>
    <x v="2"/>
    <x v="0"/>
    <x v="1"/>
  </r>
  <r>
    <s v="TX500016"/>
    <x v="9"/>
    <x v="7"/>
    <n v="30.9"/>
    <x v="15"/>
    <x v="0"/>
    <d v="2025-01-02T00:00:00"/>
    <x v="1"/>
    <x v="1"/>
    <x v="2"/>
    <x v="0"/>
    <x v="6"/>
    <x v="3"/>
    <x v="0"/>
    <x v="1"/>
  </r>
  <r>
    <s v="TX500017"/>
    <x v="4"/>
    <x v="2"/>
    <n v="31.1"/>
    <x v="16"/>
    <x v="0"/>
    <d v="2025-01-02T00:00:00"/>
    <x v="2"/>
    <x v="0"/>
    <x v="1"/>
    <x v="0"/>
    <x v="6"/>
    <x v="3"/>
    <x v="0"/>
    <x v="2"/>
  </r>
  <r>
    <s v="TX500018"/>
    <x v="7"/>
    <x v="2"/>
    <n v="36.6"/>
    <x v="17"/>
    <x v="0"/>
    <d v="2025-01-04T00:00:00"/>
    <x v="2"/>
    <x v="0"/>
    <x v="0"/>
    <x v="0"/>
    <x v="7"/>
    <x v="2"/>
    <x v="0"/>
    <x v="2"/>
  </r>
  <r>
    <s v="TX500019"/>
    <x v="6"/>
    <x v="8"/>
    <n v="51.1"/>
    <x v="18"/>
    <x v="0"/>
    <d v="2025-01-04T00:00:00"/>
    <x v="2"/>
    <x v="2"/>
    <x v="3"/>
    <x v="0"/>
    <x v="7"/>
    <x v="2"/>
    <x v="0"/>
    <x v="2"/>
  </r>
  <r>
    <s v="TX500020"/>
    <x v="9"/>
    <x v="0"/>
    <n v="25.2"/>
    <x v="19"/>
    <x v="0"/>
    <d v="2025-01-02T00:00:00"/>
    <x v="2"/>
    <x v="1"/>
    <x v="2"/>
    <x v="0"/>
    <x v="8"/>
    <x v="3"/>
    <x v="0"/>
    <x v="2"/>
  </r>
  <r>
    <s v="TX500021"/>
    <x v="9"/>
    <x v="9"/>
    <n v="43.8"/>
    <x v="20"/>
    <x v="0"/>
    <d v="2025-01-04T00:00:00"/>
    <x v="2"/>
    <x v="2"/>
    <x v="0"/>
    <x v="0"/>
    <x v="8"/>
    <x v="2"/>
    <x v="0"/>
    <x v="2"/>
  </r>
  <r>
    <s v="TX500022"/>
    <x v="8"/>
    <x v="4"/>
    <n v="46.7"/>
    <x v="21"/>
    <x v="0"/>
    <d v="2025-01-02T00:00:00"/>
    <x v="2"/>
    <x v="1"/>
    <x v="1"/>
    <x v="0"/>
    <x v="8"/>
    <x v="3"/>
    <x v="0"/>
    <x v="2"/>
  </r>
  <r>
    <s v="TX500023"/>
    <x v="3"/>
    <x v="10"/>
    <n v="79.900000000000006"/>
    <x v="22"/>
    <x v="0"/>
    <d v="2025-01-02T00:00:00"/>
    <x v="1"/>
    <x v="0"/>
    <x v="2"/>
    <x v="0"/>
    <x v="8"/>
    <x v="3"/>
    <x v="0"/>
    <x v="1"/>
  </r>
  <r>
    <s v="TX500024"/>
    <x v="11"/>
    <x v="8"/>
    <n v="26.4"/>
    <x v="23"/>
    <x v="0"/>
    <d v="2025-01-02T00:00:00"/>
    <x v="2"/>
    <x v="3"/>
    <x v="0"/>
    <x v="0"/>
    <x v="8"/>
    <x v="3"/>
    <x v="0"/>
    <x v="2"/>
  </r>
  <r>
    <s v="TX500025"/>
    <x v="12"/>
    <x v="8"/>
    <n v="88.8"/>
    <x v="24"/>
    <x v="0"/>
    <d v="2025-01-02T00:00:00"/>
    <x v="2"/>
    <x v="4"/>
    <x v="0"/>
    <x v="0"/>
    <x v="8"/>
    <x v="3"/>
    <x v="0"/>
    <x v="2"/>
  </r>
  <r>
    <s v="TX500026"/>
    <x v="0"/>
    <x v="7"/>
    <n v="17.5"/>
    <x v="25"/>
    <x v="0"/>
    <d v="2025-01-02T00:00:00"/>
    <x v="2"/>
    <x v="2"/>
    <x v="0"/>
    <x v="0"/>
    <x v="9"/>
    <x v="3"/>
    <x v="0"/>
    <x v="2"/>
  </r>
  <r>
    <s v="TX500027"/>
    <x v="1"/>
    <x v="11"/>
    <n v="38.700000000000003"/>
    <x v="26"/>
    <x v="0"/>
    <d v="2025-01-04T00:00:00"/>
    <x v="1"/>
    <x v="1"/>
    <x v="0"/>
    <x v="0"/>
    <x v="10"/>
    <x v="2"/>
    <x v="0"/>
    <x v="1"/>
  </r>
  <r>
    <s v="TX500028"/>
    <x v="13"/>
    <x v="12"/>
    <n v="57.2"/>
    <x v="27"/>
    <x v="0"/>
    <d v="2025-01-03T00:00:00"/>
    <x v="0"/>
    <x v="1"/>
    <x v="2"/>
    <x v="0"/>
    <x v="11"/>
    <x v="1"/>
    <x v="0"/>
    <x v="0"/>
  </r>
  <r>
    <s v="TX500029"/>
    <x v="6"/>
    <x v="9"/>
    <n v="50.9"/>
    <x v="28"/>
    <x v="0"/>
    <d v="2025-01-07T00:00:00"/>
    <x v="0"/>
    <x v="1"/>
    <x v="2"/>
    <x v="0"/>
    <x v="12"/>
    <x v="4"/>
    <x v="0"/>
    <x v="0"/>
  </r>
  <r>
    <s v="TX500030"/>
    <x v="14"/>
    <x v="3"/>
    <n v="41"/>
    <x v="29"/>
    <x v="0"/>
    <d v="2025-01-05T00:00:00"/>
    <x v="2"/>
    <x v="1"/>
    <x v="0"/>
    <x v="0"/>
    <x v="13"/>
    <x v="5"/>
    <x v="0"/>
    <x v="2"/>
  </r>
  <r>
    <s v="TX500031"/>
    <x v="8"/>
    <x v="3"/>
    <n v="19.100000000000001"/>
    <x v="30"/>
    <x v="0"/>
    <d v="2025-01-05T00:00:00"/>
    <x v="1"/>
    <x v="0"/>
    <x v="2"/>
    <x v="0"/>
    <x v="14"/>
    <x v="5"/>
    <x v="0"/>
    <x v="1"/>
  </r>
  <r>
    <s v="TX500032"/>
    <x v="2"/>
    <x v="9"/>
    <n v="166.1"/>
    <x v="31"/>
    <x v="0"/>
    <d v="2025-01-04T00:00:00"/>
    <x v="1"/>
    <x v="0"/>
    <x v="0"/>
    <x v="0"/>
    <x v="15"/>
    <x v="2"/>
    <x v="0"/>
    <x v="1"/>
  </r>
  <r>
    <s v="TX500033"/>
    <x v="4"/>
    <x v="2"/>
    <n v="29.9"/>
    <x v="32"/>
    <x v="0"/>
    <d v="2025-01-02T00:00:00"/>
    <x v="1"/>
    <x v="3"/>
    <x v="0"/>
    <x v="0"/>
    <x v="3"/>
    <x v="3"/>
    <x v="0"/>
    <x v="1"/>
  </r>
  <r>
    <s v="TX500034"/>
    <x v="10"/>
    <x v="13"/>
    <n v="21.7"/>
    <x v="33"/>
    <x v="0"/>
    <d v="2025-01-03T00:00:00"/>
    <x v="3"/>
    <x v="2"/>
    <x v="2"/>
    <x v="0"/>
    <x v="3"/>
    <x v="1"/>
    <x v="0"/>
    <x v="3"/>
  </r>
  <r>
    <s v="TX500035"/>
    <x v="11"/>
    <x v="1"/>
    <n v="32"/>
    <x v="34"/>
    <x v="0"/>
    <d v="2025-01-04T00:00:00"/>
    <x v="1"/>
    <x v="0"/>
    <x v="2"/>
    <x v="0"/>
    <x v="3"/>
    <x v="2"/>
    <x v="0"/>
    <x v="1"/>
  </r>
  <r>
    <s v="TX500036"/>
    <x v="8"/>
    <x v="1"/>
    <n v="15.8"/>
    <x v="35"/>
    <x v="0"/>
    <d v="2025-01-02T00:00:00"/>
    <x v="1"/>
    <x v="4"/>
    <x v="2"/>
    <x v="0"/>
    <x v="3"/>
    <x v="3"/>
    <x v="0"/>
    <x v="1"/>
  </r>
  <r>
    <s v="TX500037"/>
    <x v="2"/>
    <x v="14"/>
    <n v="203.1"/>
    <x v="36"/>
    <x v="0"/>
    <d v="2025-01-05T00:00:00"/>
    <x v="1"/>
    <x v="3"/>
    <x v="1"/>
    <x v="0"/>
    <x v="3"/>
    <x v="5"/>
    <x v="0"/>
    <x v="1"/>
  </r>
  <r>
    <s v="TX500038"/>
    <x v="7"/>
    <x v="15"/>
    <n v="39"/>
    <x v="37"/>
    <x v="0"/>
    <d v="2025-01-07T00:00:00"/>
    <x v="1"/>
    <x v="0"/>
    <x v="2"/>
    <x v="0"/>
    <x v="3"/>
    <x v="4"/>
    <x v="0"/>
    <x v="1"/>
  </r>
  <r>
    <s v="TX500039"/>
    <x v="10"/>
    <x v="0"/>
    <n v="26.5"/>
    <x v="38"/>
    <x v="1"/>
    <d v="2025-01-03T00:00:00"/>
    <x v="1"/>
    <x v="2"/>
    <x v="0"/>
    <x v="0"/>
    <x v="3"/>
    <x v="3"/>
    <x v="0"/>
    <x v="1"/>
  </r>
  <r>
    <s v="TX500040"/>
    <x v="5"/>
    <x v="0"/>
    <n v="43.1"/>
    <x v="39"/>
    <x v="1"/>
    <d v="2025-01-03T00:00:00"/>
    <x v="2"/>
    <x v="2"/>
    <x v="1"/>
    <x v="0"/>
    <x v="3"/>
    <x v="3"/>
    <x v="0"/>
    <x v="2"/>
  </r>
  <r>
    <s v="TX500041"/>
    <x v="1"/>
    <x v="2"/>
    <n v="139"/>
    <x v="40"/>
    <x v="1"/>
    <d v="2025-01-03T00:00:00"/>
    <x v="2"/>
    <x v="4"/>
    <x v="2"/>
    <x v="0"/>
    <x v="3"/>
    <x v="3"/>
    <x v="0"/>
    <x v="2"/>
  </r>
  <r>
    <s v="TX500042"/>
    <x v="12"/>
    <x v="0"/>
    <n v="80.7"/>
    <x v="41"/>
    <x v="1"/>
    <d v="2025-01-03T00:00:00"/>
    <x v="1"/>
    <x v="0"/>
    <x v="2"/>
    <x v="0"/>
    <x v="16"/>
    <x v="3"/>
    <x v="0"/>
    <x v="1"/>
  </r>
  <r>
    <s v="TX500043"/>
    <x v="4"/>
    <x v="1"/>
    <n v="54.5"/>
    <x v="42"/>
    <x v="1"/>
    <d v="2025-01-04T00:00:00"/>
    <x v="1"/>
    <x v="1"/>
    <x v="1"/>
    <x v="0"/>
    <x v="6"/>
    <x v="1"/>
    <x v="0"/>
    <x v="1"/>
  </r>
  <r>
    <s v="TX500044"/>
    <x v="6"/>
    <x v="2"/>
    <n v="68.599999999999994"/>
    <x v="43"/>
    <x v="1"/>
    <d v="2025-01-02T00:00:00"/>
    <x v="2"/>
    <x v="0"/>
    <x v="1"/>
    <x v="0"/>
    <x v="8"/>
    <x v="7"/>
    <x v="0"/>
    <x v="2"/>
  </r>
  <r>
    <s v="TX500045"/>
    <x v="2"/>
    <x v="12"/>
    <n v="135.9"/>
    <x v="44"/>
    <x v="1"/>
    <d v="2025-01-03T00:00:00"/>
    <x v="2"/>
    <x v="2"/>
    <x v="2"/>
    <x v="0"/>
    <x v="8"/>
    <x v="3"/>
    <x v="0"/>
    <x v="2"/>
  </r>
  <r>
    <s v="TX500046"/>
    <x v="2"/>
    <x v="12"/>
    <n v="70.900000000000006"/>
    <x v="45"/>
    <x v="1"/>
    <d v="2025-01-03T00:00:00"/>
    <x v="2"/>
    <x v="0"/>
    <x v="0"/>
    <x v="0"/>
    <x v="17"/>
    <x v="3"/>
    <x v="0"/>
    <x v="2"/>
  </r>
  <r>
    <s v="TX500047"/>
    <x v="1"/>
    <x v="9"/>
    <n v="63.7"/>
    <x v="46"/>
    <x v="1"/>
    <d v="2025-01-03T00:00:00"/>
    <x v="1"/>
    <x v="1"/>
    <x v="1"/>
    <x v="0"/>
    <x v="9"/>
    <x v="3"/>
    <x v="0"/>
    <x v="1"/>
  </r>
  <r>
    <s v="TX500048"/>
    <x v="13"/>
    <x v="0"/>
    <n v="29.7"/>
    <x v="47"/>
    <x v="1"/>
    <d v="2025-01-04T00:00:00"/>
    <x v="2"/>
    <x v="1"/>
    <x v="0"/>
    <x v="0"/>
    <x v="11"/>
    <x v="1"/>
    <x v="0"/>
    <x v="2"/>
  </r>
  <r>
    <s v="TX500049"/>
    <x v="4"/>
    <x v="2"/>
    <n v="26.8"/>
    <x v="48"/>
    <x v="1"/>
    <d v="2025-01-11T00:00:00"/>
    <x v="2"/>
    <x v="1"/>
    <x v="2"/>
    <x v="0"/>
    <x v="11"/>
    <x v="8"/>
    <x v="0"/>
    <x v="2"/>
  </r>
  <r>
    <s v="TX500050"/>
    <x v="14"/>
    <x v="0"/>
    <n v="27"/>
    <x v="49"/>
    <x v="1"/>
    <d v="2025-01-04T00:00:00"/>
    <x v="2"/>
    <x v="0"/>
    <x v="0"/>
    <x v="0"/>
    <x v="18"/>
    <x v="1"/>
    <x v="0"/>
    <x v="2"/>
  </r>
  <r>
    <s v="TX500051"/>
    <x v="8"/>
    <x v="0"/>
    <n v="41.4"/>
    <x v="50"/>
    <x v="1"/>
    <d v="2025-01-03T00:00:00"/>
    <x v="1"/>
    <x v="1"/>
    <x v="2"/>
    <x v="0"/>
    <x v="19"/>
    <x v="3"/>
    <x v="0"/>
    <x v="1"/>
  </r>
  <r>
    <s v="TX500052"/>
    <x v="8"/>
    <x v="1"/>
    <n v="24.3"/>
    <x v="51"/>
    <x v="1"/>
    <d v="2025-01-05T00:00:00"/>
    <x v="2"/>
    <x v="1"/>
    <x v="0"/>
    <x v="0"/>
    <x v="19"/>
    <x v="2"/>
    <x v="0"/>
    <x v="2"/>
  </r>
  <r>
    <s v="TX500053"/>
    <x v="8"/>
    <x v="2"/>
    <n v="41.7"/>
    <x v="52"/>
    <x v="1"/>
    <d v="2025-01-04T00:00:00"/>
    <x v="1"/>
    <x v="0"/>
    <x v="2"/>
    <x v="0"/>
    <x v="20"/>
    <x v="1"/>
    <x v="0"/>
    <x v="1"/>
  </r>
  <r>
    <s v="TX500054"/>
    <x v="0"/>
    <x v="1"/>
    <n v="18"/>
    <x v="53"/>
    <x v="1"/>
    <d v="2025-01-03T00:00:00"/>
    <x v="2"/>
    <x v="0"/>
    <x v="2"/>
    <x v="0"/>
    <x v="21"/>
    <x v="3"/>
    <x v="0"/>
    <x v="2"/>
  </r>
  <r>
    <s v="TX500055"/>
    <x v="7"/>
    <x v="2"/>
    <n v="91.3"/>
    <x v="54"/>
    <x v="1"/>
    <d v="2025-01-05T00:00:00"/>
    <x v="1"/>
    <x v="2"/>
    <x v="2"/>
    <x v="0"/>
    <x v="3"/>
    <x v="2"/>
    <x v="0"/>
    <x v="1"/>
  </r>
  <r>
    <s v="TX500056"/>
    <x v="8"/>
    <x v="8"/>
    <n v="19.3"/>
    <x v="55"/>
    <x v="1"/>
    <d v="2025-01-03T00:00:00"/>
    <x v="1"/>
    <x v="0"/>
    <x v="0"/>
    <x v="0"/>
    <x v="3"/>
    <x v="3"/>
    <x v="0"/>
    <x v="1"/>
  </r>
  <r>
    <s v="TX500057"/>
    <x v="12"/>
    <x v="15"/>
    <n v="63.2"/>
    <x v="56"/>
    <x v="1"/>
    <d v="2025-01-03T00:00:00"/>
    <x v="2"/>
    <x v="0"/>
    <x v="0"/>
    <x v="0"/>
    <x v="3"/>
    <x v="3"/>
    <x v="0"/>
    <x v="2"/>
  </r>
  <r>
    <s v="TX500058"/>
    <x v="10"/>
    <x v="11"/>
    <n v="33.299999999999997"/>
    <x v="57"/>
    <x v="2"/>
    <d v="2025-01-11T00:00:00"/>
    <x v="2"/>
    <x v="0"/>
    <x v="2"/>
    <x v="0"/>
    <x v="3"/>
    <x v="9"/>
    <x v="0"/>
    <x v="2"/>
  </r>
  <r>
    <s v="TX500059"/>
    <x v="7"/>
    <x v="1"/>
    <n v="64.2"/>
    <x v="58"/>
    <x v="2"/>
    <d v="2025-01-04T00:00:00"/>
    <x v="1"/>
    <x v="0"/>
    <x v="2"/>
    <x v="0"/>
    <x v="3"/>
    <x v="3"/>
    <x v="0"/>
    <x v="1"/>
  </r>
  <r>
    <s v="TX500060"/>
    <x v="9"/>
    <x v="2"/>
    <n v="23.1"/>
    <x v="59"/>
    <x v="2"/>
    <d v="2025-01-06T00:00:00"/>
    <x v="2"/>
    <x v="1"/>
    <x v="2"/>
    <x v="0"/>
    <x v="3"/>
    <x v="2"/>
    <x v="0"/>
    <x v="2"/>
  </r>
  <r>
    <s v="TX500061"/>
    <x v="15"/>
    <x v="1"/>
    <n v="71.099999999999994"/>
    <x v="60"/>
    <x v="2"/>
    <d v="2025-01-05T00:00:00"/>
    <x v="2"/>
    <x v="3"/>
    <x v="1"/>
    <x v="0"/>
    <x v="3"/>
    <x v="1"/>
    <x v="0"/>
    <x v="2"/>
  </r>
  <r>
    <s v="TX500062"/>
    <x v="0"/>
    <x v="1"/>
    <n v="11.5"/>
    <x v="61"/>
    <x v="2"/>
    <d v="2025-01-04T00:00:00"/>
    <x v="2"/>
    <x v="0"/>
    <x v="0"/>
    <x v="0"/>
    <x v="3"/>
    <x v="3"/>
    <x v="0"/>
    <x v="2"/>
  </r>
  <r>
    <s v="TX500063"/>
    <x v="15"/>
    <x v="10"/>
    <n v="69.2"/>
    <x v="62"/>
    <x v="2"/>
    <d v="2025-01-08T00:00:00"/>
    <x v="2"/>
    <x v="0"/>
    <x v="0"/>
    <x v="0"/>
    <x v="3"/>
    <x v="0"/>
    <x v="0"/>
    <x v="2"/>
  </r>
  <r>
    <s v="TX500064"/>
    <x v="0"/>
    <x v="0"/>
    <n v="26.8"/>
    <x v="63"/>
    <x v="2"/>
    <d v="2025-01-04T00:00:00"/>
    <x v="1"/>
    <x v="2"/>
    <x v="4"/>
    <x v="0"/>
    <x v="3"/>
    <x v="3"/>
    <x v="0"/>
    <x v="1"/>
  </r>
  <r>
    <s v="TX500065"/>
    <x v="16"/>
    <x v="2"/>
    <n v="31.2"/>
    <x v="64"/>
    <x v="2"/>
    <d v="2025-01-06T00:00:00"/>
    <x v="2"/>
    <x v="0"/>
    <x v="0"/>
    <x v="0"/>
    <x v="3"/>
    <x v="2"/>
    <x v="0"/>
    <x v="2"/>
  </r>
  <r>
    <s v="TX500066"/>
    <x v="12"/>
    <x v="1"/>
    <n v="113.2"/>
    <x v="65"/>
    <x v="2"/>
    <d v="2025-01-04T00:00:00"/>
    <x v="2"/>
    <x v="4"/>
    <x v="0"/>
    <x v="0"/>
    <x v="3"/>
    <x v="3"/>
    <x v="0"/>
    <x v="2"/>
  </r>
  <r>
    <s v="TX500067"/>
    <x v="10"/>
    <x v="8"/>
    <n v="21"/>
    <x v="66"/>
    <x v="2"/>
    <d v="2025-01-04T00:00:00"/>
    <x v="1"/>
    <x v="0"/>
    <x v="0"/>
    <x v="0"/>
    <x v="6"/>
    <x v="3"/>
    <x v="0"/>
    <x v="1"/>
  </r>
  <r>
    <s v="TX500068"/>
    <x v="1"/>
    <x v="1"/>
    <n v="89.1"/>
    <x v="67"/>
    <x v="2"/>
    <d v="2025-01-04T00:00:00"/>
    <x v="2"/>
    <x v="2"/>
    <x v="2"/>
    <x v="0"/>
    <x v="6"/>
    <x v="3"/>
    <x v="0"/>
    <x v="2"/>
  </r>
  <r>
    <s v="TX500069"/>
    <x v="1"/>
    <x v="0"/>
    <n v="97.7"/>
    <x v="68"/>
    <x v="2"/>
    <d v="2025-01-05T00:00:00"/>
    <x v="2"/>
    <x v="0"/>
    <x v="1"/>
    <x v="0"/>
    <x v="6"/>
    <x v="1"/>
    <x v="0"/>
    <x v="2"/>
  </r>
  <r>
    <s v="TX500070"/>
    <x v="15"/>
    <x v="12"/>
    <n v="97.7"/>
    <x v="69"/>
    <x v="2"/>
    <d v="2025-01-05T00:00:00"/>
    <x v="1"/>
    <x v="3"/>
    <x v="0"/>
    <x v="0"/>
    <x v="6"/>
    <x v="1"/>
    <x v="0"/>
    <x v="1"/>
  </r>
  <r>
    <s v="TX500071"/>
    <x v="17"/>
    <x v="2"/>
    <n v="47.4"/>
    <x v="60"/>
    <x v="2"/>
    <d v="2025-01-06T00:00:00"/>
    <x v="1"/>
    <x v="3"/>
    <x v="2"/>
    <x v="0"/>
    <x v="8"/>
    <x v="2"/>
    <x v="0"/>
    <x v="1"/>
  </r>
  <r>
    <s v="TX500072"/>
    <x v="7"/>
    <x v="0"/>
    <n v="89.6"/>
    <x v="70"/>
    <x v="2"/>
    <d v="2025-01-06T00:00:00"/>
    <x v="2"/>
    <x v="0"/>
    <x v="2"/>
    <x v="0"/>
    <x v="8"/>
    <x v="2"/>
    <x v="0"/>
    <x v="2"/>
  </r>
  <r>
    <s v="TX500073"/>
    <x v="10"/>
    <x v="16"/>
    <n v="28.4"/>
    <x v="71"/>
    <x v="2"/>
    <d v="2025-01-06T00:00:00"/>
    <x v="2"/>
    <x v="3"/>
    <x v="2"/>
    <x v="0"/>
    <x v="17"/>
    <x v="2"/>
    <x v="0"/>
    <x v="2"/>
  </r>
  <r>
    <s v="TX500074"/>
    <x v="0"/>
    <x v="1"/>
    <n v="17.899999999999999"/>
    <x v="72"/>
    <x v="2"/>
    <d v="2025-01-04T00:00:00"/>
    <x v="2"/>
    <x v="0"/>
    <x v="2"/>
    <x v="0"/>
    <x v="9"/>
    <x v="3"/>
    <x v="0"/>
    <x v="2"/>
  </r>
  <r>
    <s v="TX500075"/>
    <x v="9"/>
    <x v="1"/>
    <n v="48.4"/>
    <x v="73"/>
    <x v="2"/>
    <d v="2025-01-06T00:00:00"/>
    <x v="1"/>
    <x v="1"/>
    <x v="0"/>
    <x v="0"/>
    <x v="9"/>
    <x v="2"/>
    <x v="0"/>
    <x v="1"/>
  </r>
  <r>
    <s v="TX500076"/>
    <x v="12"/>
    <x v="12"/>
    <n v="44.4"/>
    <x v="74"/>
    <x v="2"/>
    <d v="2025-01-04T00:00:00"/>
    <x v="3"/>
    <x v="1"/>
    <x v="1"/>
    <x v="0"/>
    <x v="11"/>
    <x v="3"/>
    <x v="0"/>
    <x v="3"/>
  </r>
  <r>
    <s v="TX500077"/>
    <x v="2"/>
    <x v="8"/>
    <n v="103.7"/>
    <x v="75"/>
    <x v="2"/>
    <d v="2025-01-04T00:00:00"/>
    <x v="2"/>
    <x v="0"/>
    <x v="1"/>
    <x v="0"/>
    <x v="19"/>
    <x v="3"/>
    <x v="0"/>
    <x v="2"/>
  </r>
  <r>
    <s v="TX500078"/>
    <x v="5"/>
    <x v="12"/>
    <n v="58.6"/>
    <x v="76"/>
    <x v="2"/>
    <d v="2025-01-05T00:00:00"/>
    <x v="1"/>
    <x v="3"/>
    <x v="0"/>
    <x v="0"/>
    <x v="19"/>
    <x v="1"/>
    <x v="0"/>
    <x v="1"/>
  </r>
  <r>
    <s v="TX500079"/>
    <x v="9"/>
    <x v="12"/>
    <n v="54.8"/>
    <x v="77"/>
    <x v="2"/>
    <d v="2025-01-07T00:00:00"/>
    <x v="2"/>
    <x v="2"/>
    <x v="1"/>
    <x v="0"/>
    <x v="13"/>
    <x v="5"/>
    <x v="0"/>
    <x v="2"/>
  </r>
  <r>
    <s v="TX500080"/>
    <x v="12"/>
    <x v="2"/>
    <n v="78.8"/>
    <x v="78"/>
    <x v="2"/>
    <d v="2025-01-09T00:00:00"/>
    <x v="2"/>
    <x v="4"/>
    <x v="1"/>
    <x v="0"/>
    <x v="21"/>
    <x v="4"/>
    <x v="0"/>
    <x v="2"/>
  </r>
  <r>
    <s v="TX500081"/>
    <x v="18"/>
    <x v="9"/>
    <n v="36.799999999999997"/>
    <x v="79"/>
    <x v="2"/>
    <d v="2025-01-06T00:00:00"/>
    <x v="1"/>
    <x v="4"/>
    <x v="1"/>
    <x v="0"/>
    <x v="22"/>
    <x v="2"/>
    <x v="0"/>
    <x v="1"/>
  </r>
  <r>
    <s v="TX500082"/>
    <x v="6"/>
    <x v="13"/>
    <n v="50.6"/>
    <x v="80"/>
    <x v="2"/>
    <d v="2025-01-05T00:00:00"/>
    <x v="2"/>
    <x v="3"/>
    <x v="0"/>
    <x v="0"/>
    <x v="3"/>
    <x v="1"/>
    <x v="0"/>
    <x v="2"/>
  </r>
  <r>
    <s v="TX500083"/>
    <x v="15"/>
    <x v="2"/>
    <n v="36.799999999999997"/>
    <x v="81"/>
    <x v="2"/>
    <d v="2025-01-03T00:00:00"/>
    <x v="1"/>
    <x v="2"/>
    <x v="1"/>
    <x v="0"/>
    <x v="3"/>
    <x v="7"/>
    <x v="0"/>
    <x v="1"/>
  </r>
  <r>
    <s v="TX500084"/>
    <x v="8"/>
    <x v="11"/>
    <n v="41.8"/>
    <x v="82"/>
    <x v="3"/>
    <d v="2025-01-10T00:00:00"/>
    <x v="2"/>
    <x v="3"/>
    <x v="0"/>
    <x v="0"/>
    <x v="3"/>
    <x v="4"/>
    <x v="0"/>
    <x v="2"/>
  </r>
  <r>
    <s v="TX500085"/>
    <x v="18"/>
    <x v="0"/>
    <n v="77.3"/>
    <x v="83"/>
    <x v="3"/>
    <d v="2025-01-05T00:00:00"/>
    <x v="1"/>
    <x v="4"/>
    <x v="4"/>
    <x v="0"/>
    <x v="3"/>
    <x v="3"/>
    <x v="0"/>
    <x v="1"/>
  </r>
  <r>
    <s v="TX500086"/>
    <x v="8"/>
    <x v="12"/>
    <n v="19.8"/>
    <x v="84"/>
    <x v="3"/>
    <d v="2025-01-10T00:00:00"/>
    <x v="1"/>
    <x v="1"/>
    <x v="2"/>
    <x v="0"/>
    <x v="3"/>
    <x v="4"/>
    <x v="0"/>
    <x v="1"/>
  </r>
  <r>
    <s v="TX500087"/>
    <x v="13"/>
    <x v="12"/>
    <n v="15.5"/>
    <x v="85"/>
    <x v="3"/>
    <d v="2025-01-05T00:00:00"/>
    <x v="2"/>
    <x v="1"/>
    <x v="2"/>
    <x v="0"/>
    <x v="3"/>
    <x v="3"/>
    <x v="0"/>
    <x v="2"/>
  </r>
  <r>
    <s v="TX500088"/>
    <x v="12"/>
    <x v="0"/>
    <n v="46.8"/>
    <x v="86"/>
    <x v="3"/>
    <d v="2025-01-08T00:00:00"/>
    <x v="1"/>
    <x v="0"/>
    <x v="2"/>
    <x v="0"/>
    <x v="3"/>
    <x v="5"/>
    <x v="0"/>
    <x v="1"/>
  </r>
  <r>
    <s v="TX500089"/>
    <x v="9"/>
    <x v="11"/>
    <n v="28.6"/>
    <x v="87"/>
    <x v="3"/>
    <d v="2025-01-08T00:00:00"/>
    <x v="1"/>
    <x v="0"/>
    <x v="2"/>
    <x v="0"/>
    <x v="3"/>
    <x v="5"/>
    <x v="0"/>
    <x v="1"/>
  </r>
  <r>
    <s v="TX500090"/>
    <x v="2"/>
    <x v="0"/>
    <n v="97.7"/>
    <x v="68"/>
    <x v="3"/>
    <d v="2025-01-07T00:00:00"/>
    <x v="2"/>
    <x v="1"/>
    <x v="0"/>
    <x v="0"/>
    <x v="3"/>
    <x v="2"/>
    <x v="0"/>
    <x v="2"/>
  </r>
  <r>
    <s v="TX500091"/>
    <x v="9"/>
    <x v="9"/>
    <n v="54.7"/>
    <x v="88"/>
    <x v="3"/>
    <d v="2025-01-07T00:00:00"/>
    <x v="0"/>
    <x v="0"/>
    <x v="2"/>
    <x v="0"/>
    <x v="23"/>
    <x v="2"/>
    <x v="0"/>
    <x v="0"/>
  </r>
  <r>
    <s v="TX500092"/>
    <x v="2"/>
    <x v="13"/>
    <n v="130.5"/>
    <x v="89"/>
    <x v="3"/>
    <d v="2025-01-06T00:00:00"/>
    <x v="2"/>
    <x v="0"/>
    <x v="1"/>
    <x v="0"/>
    <x v="23"/>
    <x v="1"/>
    <x v="0"/>
    <x v="2"/>
  </r>
  <r>
    <s v="TX500093"/>
    <x v="11"/>
    <x v="1"/>
    <n v="50.4"/>
    <x v="90"/>
    <x v="3"/>
    <d v="2025-01-06T00:00:00"/>
    <x v="1"/>
    <x v="2"/>
    <x v="2"/>
    <x v="0"/>
    <x v="6"/>
    <x v="1"/>
    <x v="0"/>
    <x v="1"/>
  </r>
  <r>
    <s v="TX500094"/>
    <x v="6"/>
    <x v="15"/>
    <n v="61.5"/>
    <x v="91"/>
    <x v="3"/>
    <d v="2025-01-05T00:00:00"/>
    <x v="0"/>
    <x v="3"/>
    <x v="1"/>
    <x v="0"/>
    <x v="11"/>
    <x v="3"/>
    <x v="0"/>
    <x v="0"/>
  </r>
  <r>
    <s v="TX500095"/>
    <x v="9"/>
    <x v="12"/>
    <n v="30.1"/>
    <x v="92"/>
    <x v="3"/>
    <d v="2025-01-05T00:00:00"/>
    <x v="2"/>
    <x v="0"/>
    <x v="2"/>
    <x v="0"/>
    <x v="21"/>
    <x v="3"/>
    <x v="0"/>
    <x v="2"/>
  </r>
  <r>
    <s v="TX500096"/>
    <x v="2"/>
    <x v="9"/>
    <n v="74.8"/>
    <x v="93"/>
    <x v="3"/>
    <d v="2025-01-05T00:00:00"/>
    <x v="2"/>
    <x v="1"/>
    <x v="0"/>
    <x v="0"/>
    <x v="1"/>
    <x v="3"/>
    <x v="0"/>
    <x v="2"/>
  </r>
  <r>
    <s v="TX500097"/>
    <x v="16"/>
    <x v="2"/>
    <n v="64.900000000000006"/>
    <x v="94"/>
    <x v="3"/>
    <d v="2025-01-11T00:00:00"/>
    <x v="1"/>
    <x v="0"/>
    <x v="0"/>
    <x v="0"/>
    <x v="2"/>
    <x v="6"/>
    <x v="0"/>
    <x v="1"/>
  </r>
  <r>
    <s v="TX500098"/>
    <x v="9"/>
    <x v="1"/>
    <n v="50.5"/>
    <x v="95"/>
    <x v="3"/>
    <d v="2025-01-06T00:00:00"/>
    <x v="1"/>
    <x v="1"/>
    <x v="0"/>
    <x v="0"/>
    <x v="22"/>
    <x v="1"/>
    <x v="0"/>
    <x v="1"/>
  </r>
  <r>
    <s v="TX500099"/>
    <x v="11"/>
    <x v="3"/>
    <n v="63"/>
    <x v="96"/>
    <x v="3"/>
    <d v="2025-01-07T00:00:00"/>
    <x v="1"/>
    <x v="3"/>
    <x v="2"/>
    <x v="0"/>
    <x v="3"/>
    <x v="2"/>
    <x v="0"/>
    <x v="1"/>
  </r>
  <r>
    <s v="TX500100"/>
    <x v="2"/>
    <x v="2"/>
    <n v="93.6"/>
    <x v="97"/>
    <x v="3"/>
    <d v="2025-01-17T00:00:00"/>
    <x v="2"/>
    <x v="0"/>
    <x v="2"/>
    <x v="0"/>
    <x v="3"/>
    <x v="10"/>
    <x v="0"/>
    <x v="2"/>
  </r>
  <r>
    <s v="TX500101"/>
    <x v="5"/>
    <x v="17"/>
    <n v="41.4"/>
    <x v="98"/>
    <x v="3"/>
    <d v="2025-01-08T00:00:00"/>
    <x v="1"/>
    <x v="2"/>
    <x v="2"/>
    <x v="0"/>
    <x v="3"/>
    <x v="5"/>
    <x v="0"/>
    <x v="1"/>
  </r>
  <r>
    <s v="TX500102"/>
    <x v="2"/>
    <x v="1"/>
    <n v="160"/>
    <x v="99"/>
    <x v="4"/>
    <d v="2025-01-06T00:00:00"/>
    <x v="1"/>
    <x v="2"/>
    <x v="2"/>
    <x v="0"/>
    <x v="5"/>
    <x v="3"/>
    <x v="1"/>
    <x v="1"/>
  </r>
  <r>
    <s v="TX500103"/>
    <x v="19"/>
    <x v="5"/>
    <n v="10.5"/>
    <x v="100"/>
    <x v="4"/>
    <d v="2025-01-08T00:00:00"/>
    <x v="2"/>
    <x v="4"/>
    <x v="0"/>
    <x v="0"/>
    <x v="8"/>
    <x v="2"/>
    <x v="1"/>
    <x v="2"/>
  </r>
  <r>
    <s v="TX500104"/>
    <x v="10"/>
    <x v="1"/>
    <n v="53"/>
    <x v="101"/>
    <x v="4"/>
    <d v="2025-01-05T00:00:00"/>
    <x v="1"/>
    <x v="2"/>
    <x v="4"/>
    <x v="0"/>
    <x v="17"/>
    <x v="7"/>
    <x v="1"/>
    <x v="1"/>
  </r>
  <r>
    <s v="TX500105"/>
    <x v="8"/>
    <x v="2"/>
    <n v="18.5"/>
    <x v="102"/>
    <x v="4"/>
    <d v="2025-01-10T00:00:00"/>
    <x v="2"/>
    <x v="1"/>
    <x v="2"/>
    <x v="0"/>
    <x v="11"/>
    <x v="0"/>
    <x v="1"/>
    <x v="2"/>
  </r>
  <r>
    <s v="TX500106"/>
    <x v="16"/>
    <x v="2"/>
    <n v="84.5"/>
    <x v="103"/>
    <x v="4"/>
    <d v="2025-01-07T00:00:00"/>
    <x v="2"/>
    <x v="4"/>
    <x v="1"/>
    <x v="0"/>
    <x v="13"/>
    <x v="1"/>
    <x v="1"/>
    <x v="2"/>
  </r>
  <r>
    <s v="TX500107"/>
    <x v="15"/>
    <x v="3"/>
    <n v="31.2"/>
    <x v="104"/>
    <x v="4"/>
    <d v="2025-01-05T00:00:00"/>
    <x v="2"/>
    <x v="2"/>
    <x v="2"/>
    <x v="0"/>
    <x v="3"/>
    <x v="7"/>
    <x v="1"/>
    <x v="2"/>
  </r>
  <r>
    <s v="TX500108"/>
    <x v="8"/>
    <x v="16"/>
    <n v="32.6"/>
    <x v="105"/>
    <x v="4"/>
    <d v="2025-01-06T00:00:00"/>
    <x v="1"/>
    <x v="1"/>
    <x v="1"/>
    <x v="0"/>
    <x v="3"/>
    <x v="3"/>
    <x v="1"/>
    <x v="1"/>
  </r>
  <r>
    <s v="TX500109"/>
    <x v="10"/>
    <x v="12"/>
    <n v="45.4"/>
    <x v="106"/>
    <x v="4"/>
    <d v="2025-01-07T00:00:00"/>
    <x v="1"/>
    <x v="1"/>
    <x v="0"/>
    <x v="0"/>
    <x v="3"/>
    <x v="1"/>
    <x v="1"/>
    <x v="1"/>
  </r>
  <r>
    <s v="TX500110"/>
    <x v="2"/>
    <x v="4"/>
    <n v="120"/>
    <x v="107"/>
    <x v="4"/>
    <d v="2025-01-06T00:00:00"/>
    <x v="2"/>
    <x v="2"/>
    <x v="4"/>
    <x v="0"/>
    <x v="3"/>
    <x v="3"/>
    <x v="1"/>
    <x v="2"/>
  </r>
  <r>
    <s v="TX500111"/>
    <x v="0"/>
    <x v="12"/>
    <n v="18.899999999999999"/>
    <x v="108"/>
    <x v="4"/>
    <d v="2025-01-07T00:00:00"/>
    <x v="1"/>
    <x v="0"/>
    <x v="2"/>
    <x v="0"/>
    <x v="3"/>
    <x v="1"/>
    <x v="1"/>
    <x v="1"/>
  </r>
  <r>
    <s v="TX500112"/>
    <x v="4"/>
    <x v="0"/>
    <n v="32"/>
    <x v="109"/>
    <x v="4"/>
    <d v="2025-01-07T00:00:00"/>
    <x v="2"/>
    <x v="4"/>
    <x v="0"/>
    <x v="0"/>
    <x v="3"/>
    <x v="1"/>
    <x v="1"/>
    <x v="2"/>
  </r>
  <r>
    <s v="TX500113"/>
    <x v="7"/>
    <x v="1"/>
    <n v="37.299999999999997"/>
    <x v="110"/>
    <x v="4"/>
    <d v="2025-01-06T00:00:00"/>
    <x v="1"/>
    <x v="2"/>
    <x v="0"/>
    <x v="0"/>
    <x v="3"/>
    <x v="3"/>
    <x v="1"/>
    <x v="1"/>
  </r>
  <r>
    <s v="TX500114"/>
    <x v="18"/>
    <x v="0"/>
    <n v="119.8"/>
    <x v="111"/>
    <x v="4"/>
    <d v="2025-01-06T00:00:00"/>
    <x v="1"/>
    <x v="1"/>
    <x v="1"/>
    <x v="0"/>
    <x v="3"/>
    <x v="3"/>
    <x v="1"/>
    <x v="1"/>
  </r>
  <r>
    <s v="TX500115"/>
    <x v="10"/>
    <x v="1"/>
    <n v="26.4"/>
    <x v="112"/>
    <x v="4"/>
    <d v="2025-01-08T00:00:00"/>
    <x v="1"/>
    <x v="2"/>
    <x v="0"/>
    <x v="0"/>
    <x v="3"/>
    <x v="2"/>
    <x v="1"/>
    <x v="1"/>
  </r>
  <r>
    <s v="TX500116"/>
    <x v="6"/>
    <x v="13"/>
    <n v="76.5"/>
    <x v="113"/>
    <x v="4"/>
    <d v="2025-01-06T00:00:00"/>
    <x v="2"/>
    <x v="1"/>
    <x v="1"/>
    <x v="0"/>
    <x v="3"/>
    <x v="3"/>
    <x v="1"/>
    <x v="2"/>
  </r>
  <r>
    <s v="TX500117"/>
    <x v="4"/>
    <x v="7"/>
    <n v="45.7"/>
    <x v="114"/>
    <x v="4"/>
    <d v="2025-01-06T00:00:00"/>
    <x v="2"/>
    <x v="2"/>
    <x v="0"/>
    <x v="0"/>
    <x v="24"/>
    <x v="3"/>
    <x v="1"/>
    <x v="2"/>
  </r>
  <r>
    <s v="TX500118"/>
    <x v="1"/>
    <x v="4"/>
    <n v="92.6"/>
    <x v="115"/>
    <x v="4"/>
    <d v="2025-01-07T00:00:00"/>
    <x v="2"/>
    <x v="2"/>
    <x v="0"/>
    <x v="0"/>
    <x v="25"/>
    <x v="1"/>
    <x v="1"/>
    <x v="2"/>
  </r>
  <r>
    <s v="TX500119"/>
    <x v="6"/>
    <x v="13"/>
    <n v="60.1"/>
    <x v="116"/>
    <x v="4"/>
    <d v="2025-01-06T00:00:00"/>
    <x v="1"/>
    <x v="1"/>
    <x v="0"/>
    <x v="0"/>
    <x v="23"/>
    <x v="3"/>
    <x v="1"/>
    <x v="1"/>
  </r>
  <r>
    <s v="TX500120"/>
    <x v="1"/>
    <x v="2"/>
    <n v="73"/>
    <x v="20"/>
    <x v="4"/>
    <d v="2025-01-06T00:00:00"/>
    <x v="2"/>
    <x v="3"/>
    <x v="1"/>
    <x v="0"/>
    <x v="6"/>
    <x v="3"/>
    <x v="1"/>
    <x v="2"/>
  </r>
  <r>
    <s v="TX500121"/>
    <x v="6"/>
    <x v="2"/>
    <n v="44.3"/>
    <x v="117"/>
    <x v="4"/>
    <d v="2025-01-09T00:00:00"/>
    <x v="0"/>
    <x v="2"/>
    <x v="2"/>
    <x v="0"/>
    <x v="6"/>
    <x v="5"/>
    <x v="1"/>
    <x v="0"/>
  </r>
  <r>
    <s v="TX500122"/>
    <x v="6"/>
    <x v="2"/>
    <n v="63.3"/>
    <x v="118"/>
    <x v="4"/>
    <d v="2025-01-06T00:00:00"/>
    <x v="1"/>
    <x v="2"/>
    <x v="0"/>
    <x v="0"/>
    <x v="6"/>
    <x v="3"/>
    <x v="1"/>
    <x v="1"/>
  </r>
  <r>
    <s v="TX500123"/>
    <x v="12"/>
    <x v="0"/>
    <n v="66.8"/>
    <x v="119"/>
    <x v="4"/>
    <d v="2025-01-06T00:00:00"/>
    <x v="2"/>
    <x v="1"/>
    <x v="0"/>
    <x v="0"/>
    <x v="6"/>
    <x v="3"/>
    <x v="1"/>
    <x v="2"/>
  </r>
  <r>
    <s v="TX500124"/>
    <x v="2"/>
    <x v="1"/>
    <n v="59.7"/>
    <x v="120"/>
    <x v="4"/>
    <d v="2025-01-06T00:00:00"/>
    <x v="2"/>
    <x v="0"/>
    <x v="0"/>
    <x v="0"/>
    <x v="7"/>
    <x v="3"/>
    <x v="1"/>
    <x v="2"/>
  </r>
  <r>
    <s v="TX500125"/>
    <x v="1"/>
    <x v="13"/>
    <n v="92"/>
    <x v="121"/>
    <x v="4"/>
    <d v="2025-01-07T00:00:00"/>
    <x v="1"/>
    <x v="0"/>
    <x v="4"/>
    <x v="0"/>
    <x v="7"/>
    <x v="1"/>
    <x v="1"/>
    <x v="1"/>
  </r>
  <r>
    <s v="TX500126"/>
    <x v="7"/>
    <x v="1"/>
    <n v="87.6"/>
    <x v="122"/>
    <x v="4"/>
    <d v="2025-01-07T00:00:00"/>
    <x v="1"/>
    <x v="1"/>
    <x v="1"/>
    <x v="0"/>
    <x v="8"/>
    <x v="1"/>
    <x v="1"/>
    <x v="1"/>
  </r>
  <r>
    <s v="TX500127"/>
    <x v="6"/>
    <x v="2"/>
    <n v="84.5"/>
    <x v="103"/>
    <x v="4"/>
    <d v="2025-01-06T00:00:00"/>
    <x v="2"/>
    <x v="1"/>
    <x v="1"/>
    <x v="0"/>
    <x v="8"/>
    <x v="3"/>
    <x v="1"/>
    <x v="2"/>
  </r>
  <r>
    <s v="TX500128"/>
    <x v="1"/>
    <x v="1"/>
    <n v="116.3"/>
    <x v="123"/>
    <x v="5"/>
    <d v="2025-01-08T00:00:00"/>
    <x v="1"/>
    <x v="2"/>
    <x v="2"/>
    <x v="0"/>
    <x v="8"/>
    <x v="1"/>
    <x v="1"/>
    <x v="1"/>
  </r>
  <r>
    <s v="TX500129"/>
    <x v="6"/>
    <x v="9"/>
    <n v="52.7"/>
    <x v="124"/>
    <x v="5"/>
    <d v="2025-01-10T00:00:00"/>
    <x v="1"/>
    <x v="0"/>
    <x v="0"/>
    <x v="0"/>
    <x v="8"/>
    <x v="5"/>
    <x v="1"/>
    <x v="1"/>
  </r>
  <r>
    <s v="TX500130"/>
    <x v="16"/>
    <x v="2"/>
    <n v="34.200000000000003"/>
    <x v="125"/>
    <x v="5"/>
    <d v="2025-01-07T00:00:00"/>
    <x v="1"/>
    <x v="0"/>
    <x v="2"/>
    <x v="0"/>
    <x v="26"/>
    <x v="3"/>
    <x v="1"/>
    <x v="1"/>
  </r>
  <r>
    <s v="TX500131"/>
    <x v="9"/>
    <x v="0"/>
    <n v="23.3"/>
    <x v="126"/>
    <x v="5"/>
    <d v="2025-01-15T00:00:00"/>
    <x v="3"/>
    <x v="2"/>
    <x v="2"/>
    <x v="0"/>
    <x v="9"/>
    <x v="8"/>
    <x v="1"/>
    <x v="3"/>
  </r>
  <r>
    <s v="TX500132"/>
    <x v="0"/>
    <x v="18"/>
    <n v="25.9"/>
    <x v="127"/>
    <x v="5"/>
    <d v="2025-01-09T00:00:00"/>
    <x v="2"/>
    <x v="4"/>
    <x v="1"/>
    <x v="0"/>
    <x v="9"/>
    <x v="2"/>
    <x v="1"/>
    <x v="2"/>
  </r>
  <r>
    <s v="TX500133"/>
    <x v="6"/>
    <x v="19"/>
    <n v="54.9"/>
    <x v="128"/>
    <x v="5"/>
    <d v="2025-01-07T00:00:00"/>
    <x v="1"/>
    <x v="1"/>
    <x v="2"/>
    <x v="0"/>
    <x v="9"/>
    <x v="3"/>
    <x v="1"/>
    <x v="1"/>
  </r>
  <r>
    <s v="TX500134"/>
    <x v="5"/>
    <x v="2"/>
    <n v="75.8"/>
    <x v="129"/>
    <x v="5"/>
    <d v="2025-01-11T00:00:00"/>
    <x v="3"/>
    <x v="1"/>
    <x v="0"/>
    <x v="0"/>
    <x v="18"/>
    <x v="0"/>
    <x v="1"/>
    <x v="3"/>
  </r>
  <r>
    <s v="TX500135"/>
    <x v="1"/>
    <x v="11"/>
    <n v="44.9"/>
    <x v="130"/>
    <x v="5"/>
    <d v="2025-01-09T00:00:00"/>
    <x v="2"/>
    <x v="2"/>
    <x v="2"/>
    <x v="0"/>
    <x v="2"/>
    <x v="2"/>
    <x v="1"/>
    <x v="2"/>
  </r>
  <r>
    <s v="TX500136"/>
    <x v="11"/>
    <x v="1"/>
    <n v="48.8"/>
    <x v="131"/>
    <x v="5"/>
    <d v="2025-01-08T00:00:00"/>
    <x v="2"/>
    <x v="3"/>
    <x v="0"/>
    <x v="0"/>
    <x v="27"/>
    <x v="1"/>
    <x v="1"/>
    <x v="2"/>
  </r>
  <r>
    <s v="TX500137"/>
    <x v="15"/>
    <x v="0"/>
    <n v="20.3"/>
    <x v="132"/>
    <x v="5"/>
    <d v="2025-01-07T00:00:00"/>
    <x v="2"/>
    <x v="0"/>
    <x v="2"/>
    <x v="0"/>
    <x v="22"/>
    <x v="3"/>
    <x v="1"/>
    <x v="2"/>
  </r>
  <r>
    <s v="TX500138"/>
    <x v="5"/>
    <x v="3"/>
    <n v="36.4"/>
    <x v="133"/>
    <x v="5"/>
    <d v="2025-01-09T00:00:00"/>
    <x v="2"/>
    <x v="0"/>
    <x v="1"/>
    <x v="0"/>
    <x v="3"/>
    <x v="2"/>
    <x v="1"/>
    <x v="2"/>
  </r>
  <r>
    <s v="TX500139"/>
    <x v="0"/>
    <x v="0"/>
    <n v="19"/>
    <x v="134"/>
    <x v="5"/>
    <d v="2025-01-11T00:00:00"/>
    <x v="2"/>
    <x v="1"/>
    <x v="2"/>
    <x v="0"/>
    <x v="3"/>
    <x v="0"/>
    <x v="1"/>
    <x v="2"/>
  </r>
  <r>
    <s v="TX500140"/>
    <x v="8"/>
    <x v="0"/>
    <n v="17.8"/>
    <x v="135"/>
    <x v="5"/>
    <d v="2025-01-06T00:00:00"/>
    <x v="1"/>
    <x v="0"/>
    <x v="0"/>
    <x v="0"/>
    <x v="3"/>
    <x v="7"/>
    <x v="1"/>
    <x v="1"/>
  </r>
  <r>
    <s v="TX500141"/>
    <x v="2"/>
    <x v="13"/>
    <n v="139.6"/>
    <x v="136"/>
    <x v="5"/>
    <d v="2025-01-09T00:00:00"/>
    <x v="1"/>
    <x v="0"/>
    <x v="0"/>
    <x v="0"/>
    <x v="3"/>
    <x v="2"/>
    <x v="1"/>
    <x v="1"/>
  </r>
  <r>
    <s v="TX500142"/>
    <x v="9"/>
    <x v="0"/>
    <n v="31.7"/>
    <x v="137"/>
    <x v="5"/>
    <d v="2025-01-06T00:00:00"/>
    <x v="0"/>
    <x v="0"/>
    <x v="0"/>
    <x v="0"/>
    <x v="3"/>
    <x v="7"/>
    <x v="1"/>
    <x v="0"/>
  </r>
  <r>
    <s v="TX500143"/>
    <x v="8"/>
    <x v="8"/>
    <n v="26.3"/>
    <x v="138"/>
    <x v="5"/>
    <d v="2025-01-09T00:00:00"/>
    <x v="2"/>
    <x v="4"/>
    <x v="4"/>
    <x v="0"/>
    <x v="3"/>
    <x v="2"/>
    <x v="1"/>
    <x v="2"/>
  </r>
  <r>
    <s v="TX500144"/>
    <x v="4"/>
    <x v="1"/>
    <n v="47.8"/>
    <x v="139"/>
    <x v="5"/>
    <d v="2025-01-07T00:00:00"/>
    <x v="0"/>
    <x v="0"/>
    <x v="0"/>
    <x v="0"/>
    <x v="3"/>
    <x v="3"/>
    <x v="1"/>
    <x v="0"/>
  </r>
  <r>
    <s v="TX500145"/>
    <x v="9"/>
    <x v="2"/>
    <n v="69.400000000000006"/>
    <x v="140"/>
    <x v="5"/>
    <d v="2025-01-10T00:00:00"/>
    <x v="2"/>
    <x v="0"/>
    <x v="0"/>
    <x v="0"/>
    <x v="3"/>
    <x v="5"/>
    <x v="1"/>
    <x v="2"/>
  </r>
  <r>
    <s v="TX500146"/>
    <x v="18"/>
    <x v="4"/>
    <n v="25.8"/>
    <x v="141"/>
    <x v="5"/>
    <d v="2025-01-07T00:00:00"/>
    <x v="1"/>
    <x v="4"/>
    <x v="4"/>
    <x v="0"/>
    <x v="3"/>
    <x v="3"/>
    <x v="1"/>
    <x v="1"/>
  </r>
  <r>
    <s v="TX500147"/>
    <x v="0"/>
    <x v="12"/>
    <n v="26.4"/>
    <x v="142"/>
    <x v="5"/>
    <d v="2025-01-07T00:00:00"/>
    <x v="1"/>
    <x v="1"/>
    <x v="2"/>
    <x v="0"/>
    <x v="3"/>
    <x v="3"/>
    <x v="1"/>
    <x v="1"/>
  </r>
  <r>
    <s v="TX500148"/>
    <x v="8"/>
    <x v="12"/>
    <n v="15.7"/>
    <x v="143"/>
    <x v="5"/>
    <d v="2025-01-07T00:00:00"/>
    <x v="1"/>
    <x v="2"/>
    <x v="0"/>
    <x v="0"/>
    <x v="3"/>
    <x v="3"/>
    <x v="1"/>
    <x v="1"/>
  </r>
  <r>
    <s v="TX500149"/>
    <x v="8"/>
    <x v="0"/>
    <n v="39.700000000000003"/>
    <x v="144"/>
    <x v="5"/>
    <d v="2025-01-10T00:00:00"/>
    <x v="1"/>
    <x v="0"/>
    <x v="0"/>
    <x v="0"/>
    <x v="3"/>
    <x v="5"/>
    <x v="1"/>
    <x v="1"/>
  </r>
  <r>
    <s v="TX500150"/>
    <x v="10"/>
    <x v="12"/>
    <n v="31.1"/>
    <x v="145"/>
    <x v="5"/>
    <d v="2025-01-08T00:00:00"/>
    <x v="2"/>
    <x v="2"/>
    <x v="1"/>
    <x v="0"/>
    <x v="3"/>
    <x v="1"/>
    <x v="1"/>
    <x v="2"/>
  </r>
  <r>
    <s v="TX500151"/>
    <x v="13"/>
    <x v="20"/>
    <n v="23.4"/>
    <x v="146"/>
    <x v="5"/>
    <d v="2025-01-15T00:00:00"/>
    <x v="1"/>
    <x v="0"/>
    <x v="0"/>
    <x v="0"/>
    <x v="3"/>
    <x v="8"/>
    <x v="1"/>
    <x v="1"/>
  </r>
  <r>
    <s v="TX500152"/>
    <x v="1"/>
    <x v="12"/>
    <n v="57.1"/>
    <x v="147"/>
    <x v="6"/>
    <d v="2025-01-08T00:00:00"/>
    <x v="1"/>
    <x v="2"/>
    <x v="0"/>
    <x v="0"/>
    <x v="25"/>
    <x v="3"/>
    <x v="1"/>
    <x v="1"/>
  </r>
  <r>
    <s v="TX500153"/>
    <x v="2"/>
    <x v="9"/>
    <n v="89.9"/>
    <x v="148"/>
    <x v="6"/>
    <d v="2025-01-07T00:00:00"/>
    <x v="2"/>
    <x v="0"/>
    <x v="3"/>
    <x v="0"/>
    <x v="23"/>
    <x v="7"/>
    <x v="1"/>
    <x v="2"/>
  </r>
  <r>
    <s v="TX500154"/>
    <x v="10"/>
    <x v="3"/>
    <n v="48.1"/>
    <x v="149"/>
    <x v="6"/>
    <d v="2025-01-09T00:00:00"/>
    <x v="2"/>
    <x v="1"/>
    <x v="2"/>
    <x v="0"/>
    <x v="6"/>
    <x v="1"/>
    <x v="1"/>
    <x v="2"/>
  </r>
  <r>
    <s v="TX500155"/>
    <x v="8"/>
    <x v="1"/>
    <n v="29.3"/>
    <x v="150"/>
    <x v="6"/>
    <d v="2025-01-07T00:00:00"/>
    <x v="2"/>
    <x v="1"/>
    <x v="1"/>
    <x v="0"/>
    <x v="6"/>
    <x v="7"/>
    <x v="1"/>
    <x v="2"/>
  </r>
  <r>
    <s v="TX500156"/>
    <x v="8"/>
    <x v="12"/>
    <n v="28.8"/>
    <x v="151"/>
    <x v="6"/>
    <d v="2025-01-08T00:00:00"/>
    <x v="2"/>
    <x v="0"/>
    <x v="4"/>
    <x v="0"/>
    <x v="6"/>
    <x v="3"/>
    <x v="1"/>
    <x v="2"/>
  </r>
  <r>
    <s v="TX500157"/>
    <x v="10"/>
    <x v="9"/>
    <n v="40.5"/>
    <x v="152"/>
    <x v="6"/>
    <d v="2025-01-11T00:00:00"/>
    <x v="2"/>
    <x v="3"/>
    <x v="0"/>
    <x v="0"/>
    <x v="6"/>
    <x v="5"/>
    <x v="1"/>
    <x v="2"/>
  </r>
  <r>
    <s v="TX500158"/>
    <x v="18"/>
    <x v="21"/>
    <n v="65.099999999999994"/>
    <x v="153"/>
    <x v="6"/>
    <d v="2025-01-08T00:00:00"/>
    <x v="2"/>
    <x v="4"/>
    <x v="0"/>
    <x v="0"/>
    <x v="7"/>
    <x v="3"/>
    <x v="1"/>
    <x v="2"/>
  </r>
  <r>
    <s v="TX500159"/>
    <x v="8"/>
    <x v="12"/>
    <n v="40.299999999999997"/>
    <x v="154"/>
    <x v="6"/>
    <d v="2025-01-12T00:00:00"/>
    <x v="2"/>
    <x v="2"/>
    <x v="0"/>
    <x v="0"/>
    <x v="7"/>
    <x v="0"/>
    <x v="1"/>
    <x v="2"/>
  </r>
  <r>
    <s v="TX500160"/>
    <x v="6"/>
    <x v="9"/>
    <n v="51.8"/>
    <x v="155"/>
    <x v="6"/>
    <d v="2025-01-08T00:00:00"/>
    <x v="1"/>
    <x v="2"/>
    <x v="2"/>
    <x v="0"/>
    <x v="8"/>
    <x v="3"/>
    <x v="1"/>
    <x v="1"/>
  </r>
  <r>
    <s v="TX500161"/>
    <x v="6"/>
    <x v="2"/>
    <n v="61.3"/>
    <x v="156"/>
    <x v="6"/>
    <d v="2025-01-08T00:00:00"/>
    <x v="2"/>
    <x v="3"/>
    <x v="0"/>
    <x v="0"/>
    <x v="8"/>
    <x v="3"/>
    <x v="1"/>
    <x v="2"/>
  </r>
  <r>
    <s v="TX500162"/>
    <x v="2"/>
    <x v="12"/>
    <n v="122.5"/>
    <x v="157"/>
    <x v="6"/>
    <d v="2025-01-08T00:00:00"/>
    <x v="1"/>
    <x v="0"/>
    <x v="0"/>
    <x v="0"/>
    <x v="8"/>
    <x v="3"/>
    <x v="1"/>
    <x v="1"/>
  </r>
  <r>
    <s v="TX500163"/>
    <x v="0"/>
    <x v="11"/>
    <n v="12.5"/>
    <x v="158"/>
    <x v="6"/>
    <d v="2025-01-08T00:00:00"/>
    <x v="0"/>
    <x v="1"/>
    <x v="2"/>
    <x v="0"/>
    <x v="8"/>
    <x v="3"/>
    <x v="1"/>
    <x v="0"/>
  </r>
  <r>
    <s v="TX500164"/>
    <x v="15"/>
    <x v="8"/>
    <n v="37.5"/>
    <x v="159"/>
    <x v="6"/>
    <d v="2025-01-08T00:00:00"/>
    <x v="2"/>
    <x v="0"/>
    <x v="0"/>
    <x v="0"/>
    <x v="9"/>
    <x v="3"/>
    <x v="1"/>
    <x v="2"/>
  </r>
  <r>
    <s v="TX500165"/>
    <x v="6"/>
    <x v="2"/>
    <n v="40"/>
    <x v="160"/>
    <x v="6"/>
    <d v="2025-01-10T00:00:00"/>
    <x v="1"/>
    <x v="0"/>
    <x v="4"/>
    <x v="0"/>
    <x v="11"/>
    <x v="2"/>
    <x v="1"/>
    <x v="1"/>
  </r>
  <r>
    <s v="TX500166"/>
    <x v="17"/>
    <x v="8"/>
    <n v="38.5"/>
    <x v="161"/>
    <x v="6"/>
    <d v="2025-01-12T00:00:00"/>
    <x v="2"/>
    <x v="2"/>
    <x v="1"/>
    <x v="0"/>
    <x v="11"/>
    <x v="0"/>
    <x v="1"/>
    <x v="2"/>
  </r>
  <r>
    <s v="TX500167"/>
    <x v="2"/>
    <x v="1"/>
    <n v="86.4"/>
    <x v="162"/>
    <x v="6"/>
    <d v="2025-01-09T00:00:00"/>
    <x v="2"/>
    <x v="0"/>
    <x v="0"/>
    <x v="0"/>
    <x v="18"/>
    <x v="1"/>
    <x v="1"/>
    <x v="2"/>
  </r>
  <r>
    <s v="TX500168"/>
    <x v="10"/>
    <x v="0"/>
    <n v="50.7"/>
    <x v="163"/>
    <x v="6"/>
    <d v="2025-01-11T00:00:00"/>
    <x v="2"/>
    <x v="1"/>
    <x v="0"/>
    <x v="0"/>
    <x v="18"/>
    <x v="5"/>
    <x v="1"/>
    <x v="2"/>
  </r>
  <r>
    <s v="TX500169"/>
    <x v="10"/>
    <x v="1"/>
    <n v="61"/>
    <x v="164"/>
    <x v="6"/>
    <d v="2025-01-18T00:00:00"/>
    <x v="2"/>
    <x v="4"/>
    <x v="1"/>
    <x v="0"/>
    <x v="18"/>
    <x v="11"/>
    <x v="1"/>
    <x v="2"/>
  </r>
  <r>
    <s v="TX500170"/>
    <x v="4"/>
    <x v="1"/>
    <n v="19.899999999999999"/>
    <x v="165"/>
    <x v="6"/>
    <d v="2025-01-10T00:00:00"/>
    <x v="2"/>
    <x v="1"/>
    <x v="0"/>
    <x v="0"/>
    <x v="28"/>
    <x v="2"/>
    <x v="1"/>
    <x v="2"/>
  </r>
  <r>
    <s v="TX500171"/>
    <x v="5"/>
    <x v="0"/>
    <n v="78.3"/>
    <x v="166"/>
    <x v="6"/>
    <d v="2025-01-07T00:00:00"/>
    <x v="2"/>
    <x v="0"/>
    <x v="2"/>
    <x v="0"/>
    <x v="1"/>
    <x v="7"/>
    <x v="1"/>
    <x v="2"/>
  </r>
  <r>
    <s v="TX500172"/>
    <x v="0"/>
    <x v="10"/>
    <n v="10.4"/>
    <x v="167"/>
    <x v="6"/>
    <d v="2025-01-09T00:00:00"/>
    <x v="1"/>
    <x v="0"/>
    <x v="2"/>
    <x v="0"/>
    <x v="2"/>
    <x v="1"/>
    <x v="1"/>
    <x v="1"/>
  </r>
  <r>
    <s v="TX500173"/>
    <x v="10"/>
    <x v="0"/>
    <n v="36.1"/>
    <x v="168"/>
    <x v="6"/>
    <d v="2025-01-10T00:00:00"/>
    <x v="1"/>
    <x v="3"/>
    <x v="2"/>
    <x v="0"/>
    <x v="3"/>
    <x v="2"/>
    <x v="1"/>
    <x v="1"/>
  </r>
  <r>
    <s v="TX500174"/>
    <x v="14"/>
    <x v="1"/>
    <n v="17.3"/>
    <x v="169"/>
    <x v="6"/>
    <d v="2025-01-09T00:00:00"/>
    <x v="2"/>
    <x v="1"/>
    <x v="2"/>
    <x v="0"/>
    <x v="3"/>
    <x v="1"/>
    <x v="1"/>
    <x v="2"/>
  </r>
  <r>
    <s v="TX500175"/>
    <x v="10"/>
    <x v="1"/>
    <n v="30.5"/>
    <x v="170"/>
    <x v="6"/>
    <d v="2025-01-08T00:00:00"/>
    <x v="2"/>
    <x v="1"/>
    <x v="2"/>
    <x v="0"/>
    <x v="3"/>
    <x v="3"/>
    <x v="1"/>
    <x v="2"/>
  </r>
  <r>
    <s v="TX500176"/>
    <x v="18"/>
    <x v="22"/>
    <n v="70.099999999999994"/>
    <x v="171"/>
    <x v="6"/>
    <d v="2025-01-07T00:00:00"/>
    <x v="2"/>
    <x v="2"/>
    <x v="0"/>
    <x v="0"/>
    <x v="3"/>
    <x v="7"/>
    <x v="1"/>
    <x v="2"/>
  </r>
  <r>
    <s v="TX500177"/>
    <x v="3"/>
    <x v="0"/>
    <n v="76.099999999999994"/>
    <x v="172"/>
    <x v="6"/>
    <d v="2025-01-07T00:00:00"/>
    <x v="2"/>
    <x v="2"/>
    <x v="1"/>
    <x v="0"/>
    <x v="3"/>
    <x v="7"/>
    <x v="1"/>
    <x v="2"/>
  </r>
  <r>
    <s v="TX500178"/>
    <x v="15"/>
    <x v="15"/>
    <n v="34.200000000000003"/>
    <x v="173"/>
    <x v="6"/>
    <d v="2025-01-08T00:00:00"/>
    <x v="1"/>
    <x v="0"/>
    <x v="0"/>
    <x v="0"/>
    <x v="3"/>
    <x v="3"/>
    <x v="1"/>
    <x v="1"/>
  </r>
  <r>
    <s v="TX500179"/>
    <x v="8"/>
    <x v="9"/>
    <n v="30.3"/>
    <x v="174"/>
    <x v="6"/>
    <d v="2025-01-12T00:00:00"/>
    <x v="2"/>
    <x v="4"/>
    <x v="0"/>
    <x v="0"/>
    <x v="3"/>
    <x v="0"/>
    <x v="1"/>
    <x v="2"/>
  </r>
  <r>
    <s v="TX500180"/>
    <x v="6"/>
    <x v="9"/>
    <n v="52.5"/>
    <x v="175"/>
    <x v="6"/>
    <d v="2025-01-11T00:00:00"/>
    <x v="0"/>
    <x v="3"/>
    <x v="0"/>
    <x v="0"/>
    <x v="3"/>
    <x v="5"/>
    <x v="1"/>
    <x v="0"/>
  </r>
  <r>
    <s v="TX500181"/>
    <x v="9"/>
    <x v="5"/>
    <n v="28.7"/>
    <x v="176"/>
    <x v="6"/>
    <d v="2025-01-08T00:00:00"/>
    <x v="2"/>
    <x v="2"/>
    <x v="0"/>
    <x v="0"/>
    <x v="3"/>
    <x v="3"/>
    <x v="1"/>
    <x v="2"/>
  </r>
  <r>
    <s v="TX500182"/>
    <x v="7"/>
    <x v="3"/>
    <n v="52"/>
    <x v="177"/>
    <x v="6"/>
    <d v="2025-01-08T00:00:00"/>
    <x v="1"/>
    <x v="1"/>
    <x v="4"/>
    <x v="0"/>
    <x v="3"/>
    <x v="3"/>
    <x v="1"/>
    <x v="1"/>
  </r>
  <r>
    <s v="TX500183"/>
    <x v="0"/>
    <x v="0"/>
    <n v="13.3"/>
    <x v="178"/>
    <x v="7"/>
    <d v="2025-01-12T00:00:00"/>
    <x v="2"/>
    <x v="2"/>
    <x v="1"/>
    <x v="0"/>
    <x v="3"/>
    <x v="5"/>
    <x v="1"/>
    <x v="2"/>
  </r>
  <r>
    <s v="TX500184"/>
    <x v="0"/>
    <x v="2"/>
    <n v="15.7"/>
    <x v="179"/>
    <x v="7"/>
    <d v="2025-01-09T00:00:00"/>
    <x v="2"/>
    <x v="1"/>
    <x v="0"/>
    <x v="0"/>
    <x v="29"/>
    <x v="3"/>
    <x v="1"/>
    <x v="2"/>
  </r>
  <r>
    <s v="TX500185"/>
    <x v="8"/>
    <x v="1"/>
    <n v="25.6"/>
    <x v="180"/>
    <x v="7"/>
    <d v="2025-01-09T00:00:00"/>
    <x v="1"/>
    <x v="0"/>
    <x v="2"/>
    <x v="0"/>
    <x v="23"/>
    <x v="3"/>
    <x v="1"/>
    <x v="1"/>
  </r>
  <r>
    <s v="TX500186"/>
    <x v="8"/>
    <x v="0"/>
    <n v="43.4"/>
    <x v="181"/>
    <x v="7"/>
    <d v="2025-01-13T00:00:00"/>
    <x v="1"/>
    <x v="0"/>
    <x v="0"/>
    <x v="0"/>
    <x v="6"/>
    <x v="0"/>
    <x v="1"/>
    <x v="1"/>
  </r>
  <r>
    <s v="TX500187"/>
    <x v="11"/>
    <x v="11"/>
    <n v="33.4"/>
    <x v="182"/>
    <x v="7"/>
    <d v="2025-01-08T00:00:00"/>
    <x v="2"/>
    <x v="0"/>
    <x v="0"/>
    <x v="0"/>
    <x v="8"/>
    <x v="7"/>
    <x v="1"/>
    <x v="2"/>
  </r>
  <r>
    <s v="TX500188"/>
    <x v="8"/>
    <x v="10"/>
    <n v="55"/>
    <x v="183"/>
    <x v="7"/>
    <d v="2025-01-09T00:00:00"/>
    <x v="2"/>
    <x v="1"/>
    <x v="2"/>
    <x v="0"/>
    <x v="8"/>
    <x v="3"/>
    <x v="1"/>
    <x v="2"/>
  </r>
  <r>
    <s v="TX500189"/>
    <x v="8"/>
    <x v="2"/>
    <n v="23.6"/>
    <x v="184"/>
    <x v="7"/>
    <d v="2025-01-09T00:00:00"/>
    <x v="1"/>
    <x v="0"/>
    <x v="2"/>
    <x v="0"/>
    <x v="8"/>
    <x v="3"/>
    <x v="1"/>
    <x v="1"/>
  </r>
  <r>
    <s v="TX500190"/>
    <x v="12"/>
    <x v="11"/>
    <n v="104"/>
    <x v="185"/>
    <x v="7"/>
    <d v="2025-01-10T00:00:00"/>
    <x v="2"/>
    <x v="2"/>
    <x v="2"/>
    <x v="0"/>
    <x v="17"/>
    <x v="1"/>
    <x v="1"/>
    <x v="2"/>
  </r>
  <r>
    <s v="TX500191"/>
    <x v="6"/>
    <x v="1"/>
    <n v="51.8"/>
    <x v="186"/>
    <x v="7"/>
    <d v="2025-01-12T00:00:00"/>
    <x v="0"/>
    <x v="0"/>
    <x v="2"/>
    <x v="0"/>
    <x v="10"/>
    <x v="5"/>
    <x v="1"/>
    <x v="0"/>
  </r>
  <r>
    <s v="TX500192"/>
    <x v="10"/>
    <x v="9"/>
    <n v="34.5"/>
    <x v="187"/>
    <x v="7"/>
    <d v="2025-01-10T00:00:00"/>
    <x v="0"/>
    <x v="2"/>
    <x v="2"/>
    <x v="0"/>
    <x v="11"/>
    <x v="1"/>
    <x v="1"/>
    <x v="0"/>
  </r>
  <r>
    <s v="TX500193"/>
    <x v="6"/>
    <x v="1"/>
    <n v="51.8"/>
    <x v="186"/>
    <x v="7"/>
    <d v="2025-01-10T00:00:00"/>
    <x v="1"/>
    <x v="1"/>
    <x v="2"/>
    <x v="0"/>
    <x v="30"/>
    <x v="1"/>
    <x v="1"/>
    <x v="1"/>
  </r>
  <r>
    <s v="TX500194"/>
    <x v="18"/>
    <x v="23"/>
    <n v="131.5"/>
    <x v="188"/>
    <x v="7"/>
    <d v="2025-01-09T00:00:00"/>
    <x v="2"/>
    <x v="0"/>
    <x v="2"/>
    <x v="0"/>
    <x v="18"/>
    <x v="3"/>
    <x v="1"/>
    <x v="2"/>
  </r>
  <r>
    <s v="TX500195"/>
    <x v="8"/>
    <x v="3"/>
    <n v="47.8"/>
    <x v="189"/>
    <x v="7"/>
    <d v="2025-01-08T00:00:00"/>
    <x v="2"/>
    <x v="0"/>
    <x v="0"/>
    <x v="0"/>
    <x v="19"/>
    <x v="7"/>
    <x v="1"/>
    <x v="2"/>
  </r>
  <r>
    <s v="TX500196"/>
    <x v="0"/>
    <x v="1"/>
    <n v="10.199999999999999"/>
    <x v="190"/>
    <x v="7"/>
    <d v="2025-01-10T00:00:00"/>
    <x v="2"/>
    <x v="0"/>
    <x v="0"/>
    <x v="0"/>
    <x v="19"/>
    <x v="1"/>
    <x v="1"/>
    <x v="2"/>
  </r>
  <r>
    <s v="TX500197"/>
    <x v="8"/>
    <x v="8"/>
    <n v="41"/>
    <x v="191"/>
    <x v="7"/>
    <d v="2025-01-08T00:00:00"/>
    <x v="2"/>
    <x v="1"/>
    <x v="2"/>
    <x v="0"/>
    <x v="19"/>
    <x v="7"/>
    <x v="1"/>
    <x v="2"/>
  </r>
  <r>
    <s v="TX500198"/>
    <x v="10"/>
    <x v="3"/>
    <n v="50.8"/>
    <x v="192"/>
    <x v="7"/>
    <d v="2025-01-11T00:00:00"/>
    <x v="2"/>
    <x v="1"/>
    <x v="0"/>
    <x v="0"/>
    <x v="21"/>
    <x v="2"/>
    <x v="1"/>
    <x v="2"/>
  </r>
  <r>
    <s v="TX500199"/>
    <x v="18"/>
    <x v="2"/>
    <n v="39.6"/>
    <x v="193"/>
    <x v="7"/>
    <d v="2025-01-09T00:00:00"/>
    <x v="1"/>
    <x v="2"/>
    <x v="2"/>
    <x v="0"/>
    <x v="1"/>
    <x v="3"/>
    <x v="1"/>
    <x v="1"/>
  </r>
  <r>
    <s v="TX500200"/>
    <x v="5"/>
    <x v="1"/>
    <n v="69.5"/>
    <x v="194"/>
    <x v="7"/>
    <d v="2025-01-10T00:00:00"/>
    <x v="1"/>
    <x v="0"/>
    <x v="2"/>
    <x v="0"/>
    <x v="2"/>
    <x v="1"/>
    <x v="1"/>
    <x v="1"/>
  </r>
  <r>
    <s v="TX500201"/>
    <x v="8"/>
    <x v="8"/>
    <n v="32.6"/>
    <x v="195"/>
    <x v="7"/>
    <d v="2025-01-11T00:00:00"/>
    <x v="1"/>
    <x v="1"/>
    <x v="0"/>
    <x v="0"/>
    <x v="3"/>
    <x v="2"/>
    <x v="1"/>
    <x v="1"/>
  </r>
  <r>
    <s v="TX500202"/>
    <x v="7"/>
    <x v="1"/>
    <n v="49.1"/>
    <x v="196"/>
    <x v="7"/>
    <d v="2025-01-16T00:00:00"/>
    <x v="1"/>
    <x v="3"/>
    <x v="2"/>
    <x v="0"/>
    <x v="3"/>
    <x v="9"/>
    <x v="1"/>
    <x v="1"/>
  </r>
  <r>
    <s v="TX500203"/>
    <x v="6"/>
    <x v="1"/>
    <n v="49.4"/>
    <x v="197"/>
    <x v="8"/>
    <d v="2025-01-10T00:00:00"/>
    <x v="2"/>
    <x v="2"/>
    <x v="0"/>
    <x v="0"/>
    <x v="3"/>
    <x v="3"/>
    <x v="1"/>
    <x v="2"/>
  </r>
  <r>
    <s v="TX500204"/>
    <x v="7"/>
    <x v="3"/>
    <n v="65.099999999999994"/>
    <x v="198"/>
    <x v="8"/>
    <d v="2025-01-12T00:00:00"/>
    <x v="2"/>
    <x v="2"/>
    <x v="2"/>
    <x v="0"/>
    <x v="3"/>
    <x v="2"/>
    <x v="1"/>
    <x v="2"/>
  </r>
  <r>
    <s v="TX500205"/>
    <x v="3"/>
    <x v="1"/>
    <n v="52.1"/>
    <x v="199"/>
    <x v="8"/>
    <d v="2025-01-13T00:00:00"/>
    <x v="2"/>
    <x v="2"/>
    <x v="0"/>
    <x v="0"/>
    <x v="3"/>
    <x v="5"/>
    <x v="1"/>
    <x v="2"/>
  </r>
  <r>
    <s v="TX500206"/>
    <x v="2"/>
    <x v="12"/>
    <n v="129.19999999999999"/>
    <x v="200"/>
    <x v="8"/>
    <d v="2025-01-10T00:00:00"/>
    <x v="2"/>
    <x v="1"/>
    <x v="0"/>
    <x v="0"/>
    <x v="3"/>
    <x v="3"/>
    <x v="1"/>
    <x v="2"/>
  </r>
  <r>
    <s v="TX500207"/>
    <x v="1"/>
    <x v="10"/>
    <n v="81.8"/>
    <x v="201"/>
    <x v="8"/>
    <d v="2025-01-09T00:00:00"/>
    <x v="2"/>
    <x v="1"/>
    <x v="1"/>
    <x v="0"/>
    <x v="3"/>
    <x v="7"/>
    <x v="1"/>
    <x v="2"/>
  </r>
  <r>
    <s v="TX500208"/>
    <x v="17"/>
    <x v="0"/>
    <n v="24.9"/>
    <x v="202"/>
    <x v="8"/>
    <d v="2025-01-13T00:00:00"/>
    <x v="2"/>
    <x v="1"/>
    <x v="0"/>
    <x v="0"/>
    <x v="3"/>
    <x v="5"/>
    <x v="1"/>
    <x v="2"/>
  </r>
  <r>
    <s v="TX500209"/>
    <x v="0"/>
    <x v="2"/>
    <n v="49.4"/>
    <x v="203"/>
    <x v="8"/>
    <d v="2025-01-12T00:00:00"/>
    <x v="2"/>
    <x v="4"/>
    <x v="4"/>
    <x v="0"/>
    <x v="3"/>
    <x v="2"/>
    <x v="1"/>
    <x v="2"/>
  </r>
  <r>
    <s v="TX500210"/>
    <x v="8"/>
    <x v="1"/>
    <n v="22.7"/>
    <x v="204"/>
    <x v="8"/>
    <d v="2025-01-10T00:00:00"/>
    <x v="1"/>
    <x v="3"/>
    <x v="2"/>
    <x v="0"/>
    <x v="3"/>
    <x v="3"/>
    <x v="1"/>
    <x v="1"/>
  </r>
  <r>
    <s v="TX500211"/>
    <x v="1"/>
    <x v="0"/>
    <n v="77.3"/>
    <x v="83"/>
    <x v="8"/>
    <d v="2025-01-09T00:00:00"/>
    <x v="2"/>
    <x v="0"/>
    <x v="2"/>
    <x v="0"/>
    <x v="6"/>
    <x v="7"/>
    <x v="1"/>
    <x v="2"/>
  </r>
  <r>
    <s v="TX500212"/>
    <x v="1"/>
    <x v="9"/>
    <n v="109.1"/>
    <x v="205"/>
    <x v="8"/>
    <d v="2025-01-12T00:00:00"/>
    <x v="2"/>
    <x v="0"/>
    <x v="0"/>
    <x v="0"/>
    <x v="6"/>
    <x v="2"/>
    <x v="1"/>
    <x v="2"/>
  </r>
  <r>
    <s v="TX500213"/>
    <x v="2"/>
    <x v="12"/>
    <n v="53.9"/>
    <x v="206"/>
    <x v="8"/>
    <d v="2025-01-10T00:00:00"/>
    <x v="1"/>
    <x v="0"/>
    <x v="1"/>
    <x v="0"/>
    <x v="8"/>
    <x v="3"/>
    <x v="1"/>
    <x v="1"/>
  </r>
  <r>
    <s v="TX500214"/>
    <x v="9"/>
    <x v="18"/>
    <n v="21.2"/>
    <x v="207"/>
    <x v="8"/>
    <d v="2025-01-09T00:00:00"/>
    <x v="2"/>
    <x v="0"/>
    <x v="0"/>
    <x v="0"/>
    <x v="9"/>
    <x v="7"/>
    <x v="1"/>
    <x v="2"/>
  </r>
  <r>
    <s v="TX500215"/>
    <x v="16"/>
    <x v="12"/>
    <n v="69"/>
    <x v="208"/>
    <x v="8"/>
    <d v="2025-01-11T00:00:00"/>
    <x v="2"/>
    <x v="1"/>
    <x v="1"/>
    <x v="0"/>
    <x v="18"/>
    <x v="1"/>
    <x v="1"/>
    <x v="2"/>
  </r>
  <r>
    <s v="TX500216"/>
    <x v="6"/>
    <x v="2"/>
    <n v="46.2"/>
    <x v="209"/>
    <x v="8"/>
    <d v="2025-01-11T00:00:00"/>
    <x v="2"/>
    <x v="0"/>
    <x v="2"/>
    <x v="0"/>
    <x v="31"/>
    <x v="1"/>
    <x v="1"/>
    <x v="2"/>
  </r>
  <r>
    <s v="TX500217"/>
    <x v="1"/>
    <x v="9"/>
    <n v="97.4"/>
    <x v="210"/>
    <x v="8"/>
    <d v="2025-01-13T00:00:00"/>
    <x v="2"/>
    <x v="4"/>
    <x v="2"/>
    <x v="0"/>
    <x v="21"/>
    <x v="5"/>
    <x v="1"/>
    <x v="2"/>
  </r>
  <r>
    <s v="TX500218"/>
    <x v="8"/>
    <x v="9"/>
    <n v="21"/>
    <x v="211"/>
    <x v="8"/>
    <d v="2025-01-10T00:00:00"/>
    <x v="1"/>
    <x v="0"/>
    <x v="1"/>
    <x v="0"/>
    <x v="21"/>
    <x v="3"/>
    <x v="1"/>
    <x v="1"/>
  </r>
  <r>
    <s v="TX500219"/>
    <x v="5"/>
    <x v="1"/>
    <n v="32.700000000000003"/>
    <x v="212"/>
    <x v="9"/>
    <d v="2025-01-13T00:00:00"/>
    <x v="2"/>
    <x v="1"/>
    <x v="0"/>
    <x v="0"/>
    <x v="2"/>
    <x v="2"/>
    <x v="1"/>
    <x v="2"/>
  </r>
  <r>
    <s v="TX500220"/>
    <x v="6"/>
    <x v="12"/>
    <n v="48"/>
    <x v="213"/>
    <x v="9"/>
    <d v="2025-01-11T00:00:00"/>
    <x v="1"/>
    <x v="3"/>
    <x v="0"/>
    <x v="0"/>
    <x v="3"/>
    <x v="3"/>
    <x v="1"/>
    <x v="1"/>
  </r>
  <r>
    <s v="TX500221"/>
    <x v="6"/>
    <x v="2"/>
    <n v="68.2"/>
    <x v="214"/>
    <x v="9"/>
    <d v="2025-01-14T00:00:00"/>
    <x v="0"/>
    <x v="0"/>
    <x v="2"/>
    <x v="0"/>
    <x v="3"/>
    <x v="5"/>
    <x v="1"/>
    <x v="0"/>
  </r>
  <r>
    <s v="TX500222"/>
    <x v="5"/>
    <x v="0"/>
    <n v="45.4"/>
    <x v="204"/>
    <x v="9"/>
    <d v="2025-01-12T00:00:00"/>
    <x v="1"/>
    <x v="1"/>
    <x v="0"/>
    <x v="0"/>
    <x v="3"/>
    <x v="1"/>
    <x v="1"/>
    <x v="1"/>
  </r>
  <r>
    <s v="TX500223"/>
    <x v="12"/>
    <x v="1"/>
    <n v="53.9"/>
    <x v="215"/>
    <x v="9"/>
    <d v="2025-01-11T00:00:00"/>
    <x v="2"/>
    <x v="2"/>
    <x v="0"/>
    <x v="0"/>
    <x v="3"/>
    <x v="3"/>
    <x v="1"/>
    <x v="2"/>
  </r>
  <r>
    <s v="TX500224"/>
    <x v="2"/>
    <x v="12"/>
    <n v="62.1"/>
    <x v="216"/>
    <x v="9"/>
    <d v="2025-01-14T00:00:00"/>
    <x v="2"/>
    <x v="0"/>
    <x v="0"/>
    <x v="0"/>
    <x v="4"/>
    <x v="5"/>
    <x v="1"/>
    <x v="2"/>
  </r>
  <r>
    <s v="TX500225"/>
    <x v="13"/>
    <x v="3"/>
    <n v="33.1"/>
    <x v="217"/>
    <x v="9"/>
    <d v="2025-01-15T00:00:00"/>
    <x v="1"/>
    <x v="1"/>
    <x v="0"/>
    <x v="0"/>
    <x v="6"/>
    <x v="0"/>
    <x v="1"/>
    <x v="1"/>
  </r>
  <r>
    <s v="TX500226"/>
    <x v="18"/>
    <x v="9"/>
    <n v="35.200000000000003"/>
    <x v="218"/>
    <x v="9"/>
    <d v="2025-01-10T00:00:00"/>
    <x v="2"/>
    <x v="1"/>
    <x v="0"/>
    <x v="0"/>
    <x v="6"/>
    <x v="7"/>
    <x v="1"/>
    <x v="2"/>
  </r>
  <r>
    <s v="TX500227"/>
    <x v="9"/>
    <x v="2"/>
    <n v="32.1"/>
    <x v="219"/>
    <x v="9"/>
    <d v="2025-01-15T00:00:00"/>
    <x v="1"/>
    <x v="3"/>
    <x v="0"/>
    <x v="0"/>
    <x v="8"/>
    <x v="0"/>
    <x v="1"/>
    <x v="1"/>
  </r>
  <r>
    <s v="TX500228"/>
    <x v="11"/>
    <x v="0"/>
    <n v="38.1"/>
    <x v="220"/>
    <x v="9"/>
    <d v="2025-01-15T00:00:00"/>
    <x v="2"/>
    <x v="0"/>
    <x v="2"/>
    <x v="0"/>
    <x v="8"/>
    <x v="0"/>
    <x v="1"/>
    <x v="2"/>
  </r>
  <r>
    <s v="TX500229"/>
    <x v="8"/>
    <x v="0"/>
    <n v="65.2"/>
    <x v="221"/>
    <x v="9"/>
    <d v="2025-01-15T00:00:00"/>
    <x v="2"/>
    <x v="3"/>
    <x v="1"/>
    <x v="0"/>
    <x v="8"/>
    <x v="0"/>
    <x v="1"/>
    <x v="2"/>
  </r>
  <r>
    <s v="TX500230"/>
    <x v="10"/>
    <x v="3"/>
    <n v="55.2"/>
    <x v="222"/>
    <x v="9"/>
    <d v="2025-01-11T00:00:00"/>
    <x v="1"/>
    <x v="2"/>
    <x v="0"/>
    <x v="0"/>
    <x v="11"/>
    <x v="3"/>
    <x v="1"/>
    <x v="1"/>
  </r>
  <r>
    <s v="TX500231"/>
    <x v="6"/>
    <x v="0"/>
    <n v="62"/>
    <x v="85"/>
    <x v="9"/>
    <d v="2025-01-14T00:00:00"/>
    <x v="2"/>
    <x v="0"/>
    <x v="0"/>
    <x v="0"/>
    <x v="11"/>
    <x v="5"/>
    <x v="1"/>
    <x v="2"/>
  </r>
  <r>
    <s v="TX500232"/>
    <x v="7"/>
    <x v="2"/>
    <n v="45.9"/>
    <x v="223"/>
    <x v="9"/>
    <d v="2025-01-11T00:00:00"/>
    <x v="2"/>
    <x v="2"/>
    <x v="0"/>
    <x v="0"/>
    <x v="32"/>
    <x v="3"/>
    <x v="1"/>
    <x v="2"/>
  </r>
  <r>
    <s v="TX500233"/>
    <x v="18"/>
    <x v="2"/>
    <n v="58.3"/>
    <x v="224"/>
    <x v="9"/>
    <d v="2025-01-10T00:00:00"/>
    <x v="1"/>
    <x v="1"/>
    <x v="1"/>
    <x v="0"/>
    <x v="18"/>
    <x v="7"/>
    <x v="1"/>
    <x v="1"/>
  </r>
  <r>
    <s v="TX500234"/>
    <x v="8"/>
    <x v="1"/>
    <n v="22.3"/>
    <x v="225"/>
    <x v="9"/>
    <d v="2025-01-13T00:00:00"/>
    <x v="2"/>
    <x v="0"/>
    <x v="2"/>
    <x v="0"/>
    <x v="20"/>
    <x v="2"/>
    <x v="1"/>
    <x v="2"/>
  </r>
  <r>
    <s v="TX500235"/>
    <x v="19"/>
    <x v="9"/>
    <n v="24"/>
    <x v="160"/>
    <x v="9"/>
    <d v="2025-01-11T00:00:00"/>
    <x v="1"/>
    <x v="4"/>
    <x v="0"/>
    <x v="0"/>
    <x v="1"/>
    <x v="3"/>
    <x v="1"/>
    <x v="1"/>
  </r>
  <r>
    <s v="TX500236"/>
    <x v="0"/>
    <x v="7"/>
    <n v="21.3"/>
    <x v="226"/>
    <x v="9"/>
    <d v="2025-01-10T00:00:00"/>
    <x v="2"/>
    <x v="1"/>
    <x v="2"/>
    <x v="0"/>
    <x v="22"/>
    <x v="7"/>
    <x v="1"/>
    <x v="2"/>
  </r>
  <r>
    <s v="TX500237"/>
    <x v="6"/>
    <x v="24"/>
    <n v="57.8"/>
    <x v="227"/>
    <x v="9"/>
    <d v="2025-01-12T00:00:00"/>
    <x v="2"/>
    <x v="0"/>
    <x v="2"/>
    <x v="0"/>
    <x v="3"/>
    <x v="1"/>
    <x v="1"/>
    <x v="2"/>
  </r>
  <r>
    <s v="TX500238"/>
    <x v="10"/>
    <x v="2"/>
    <n v="67.599999999999994"/>
    <x v="228"/>
    <x v="9"/>
    <d v="2025-01-11T00:00:00"/>
    <x v="2"/>
    <x v="0"/>
    <x v="0"/>
    <x v="0"/>
    <x v="3"/>
    <x v="3"/>
    <x v="1"/>
    <x v="2"/>
  </r>
  <r>
    <s v="TX500239"/>
    <x v="6"/>
    <x v="13"/>
    <n v="66.7"/>
    <x v="229"/>
    <x v="9"/>
    <d v="2025-01-14T00:00:00"/>
    <x v="1"/>
    <x v="4"/>
    <x v="1"/>
    <x v="0"/>
    <x v="3"/>
    <x v="5"/>
    <x v="1"/>
    <x v="1"/>
  </r>
  <r>
    <s v="TX500240"/>
    <x v="1"/>
    <x v="12"/>
    <n v="53.1"/>
    <x v="230"/>
    <x v="9"/>
    <d v="2025-01-12T00:00:00"/>
    <x v="2"/>
    <x v="1"/>
    <x v="0"/>
    <x v="0"/>
    <x v="3"/>
    <x v="1"/>
    <x v="1"/>
    <x v="2"/>
  </r>
  <r>
    <s v="TX500241"/>
    <x v="12"/>
    <x v="2"/>
    <n v="57.4"/>
    <x v="231"/>
    <x v="9"/>
    <d v="2025-01-13T00:00:00"/>
    <x v="2"/>
    <x v="0"/>
    <x v="2"/>
    <x v="0"/>
    <x v="29"/>
    <x v="2"/>
    <x v="1"/>
    <x v="2"/>
  </r>
  <r>
    <s v="TX500242"/>
    <x v="2"/>
    <x v="9"/>
    <n v="58.1"/>
    <x v="232"/>
    <x v="9"/>
    <d v="2025-01-10T00:00:00"/>
    <x v="1"/>
    <x v="2"/>
    <x v="2"/>
    <x v="0"/>
    <x v="6"/>
    <x v="7"/>
    <x v="1"/>
    <x v="1"/>
  </r>
  <r>
    <s v="TX500243"/>
    <x v="5"/>
    <x v="2"/>
    <n v="31.8"/>
    <x v="233"/>
    <x v="10"/>
    <d v="2025-01-13T00:00:00"/>
    <x v="1"/>
    <x v="3"/>
    <x v="0"/>
    <x v="0"/>
    <x v="6"/>
    <x v="1"/>
    <x v="1"/>
    <x v="1"/>
  </r>
  <r>
    <s v="TX500244"/>
    <x v="4"/>
    <x v="2"/>
    <n v="31.5"/>
    <x v="234"/>
    <x v="10"/>
    <d v="2025-01-14T00:00:00"/>
    <x v="1"/>
    <x v="0"/>
    <x v="1"/>
    <x v="0"/>
    <x v="8"/>
    <x v="2"/>
    <x v="1"/>
    <x v="1"/>
  </r>
  <r>
    <s v="TX500245"/>
    <x v="6"/>
    <x v="3"/>
    <n v="55.9"/>
    <x v="235"/>
    <x v="10"/>
    <d v="2025-01-15T00:00:00"/>
    <x v="2"/>
    <x v="1"/>
    <x v="2"/>
    <x v="0"/>
    <x v="8"/>
    <x v="5"/>
    <x v="1"/>
    <x v="2"/>
  </r>
  <r>
    <s v="TX500246"/>
    <x v="8"/>
    <x v="1"/>
    <n v="36.4"/>
    <x v="236"/>
    <x v="10"/>
    <d v="2025-01-12T00:00:00"/>
    <x v="1"/>
    <x v="1"/>
    <x v="1"/>
    <x v="0"/>
    <x v="9"/>
    <x v="3"/>
    <x v="1"/>
    <x v="1"/>
  </r>
  <r>
    <s v="TX500247"/>
    <x v="1"/>
    <x v="9"/>
    <n v="47.3"/>
    <x v="237"/>
    <x v="10"/>
    <d v="2025-01-14T00:00:00"/>
    <x v="1"/>
    <x v="2"/>
    <x v="0"/>
    <x v="0"/>
    <x v="10"/>
    <x v="2"/>
    <x v="1"/>
    <x v="1"/>
  </r>
  <r>
    <s v="TX500248"/>
    <x v="6"/>
    <x v="2"/>
    <n v="82.5"/>
    <x v="238"/>
    <x v="10"/>
    <d v="2025-01-12T00:00:00"/>
    <x v="1"/>
    <x v="0"/>
    <x v="0"/>
    <x v="0"/>
    <x v="11"/>
    <x v="3"/>
    <x v="1"/>
    <x v="1"/>
  </r>
  <r>
    <s v="TX500249"/>
    <x v="0"/>
    <x v="0"/>
    <n v="14.3"/>
    <x v="239"/>
    <x v="10"/>
    <d v="2025-01-12T00:00:00"/>
    <x v="2"/>
    <x v="0"/>
    <x v="0"/>
    <x v="0"/>
    <x v="21"/>
    <x v="3"/>
    <x v="1"/>
    <x v="2"/>
  </r>
  <r>
    <s v="TX500250"/>
    <x v="2"/>
    <x v="13"/>
    <n v="57.6"/>
    <x v="240"/>
    <x v="10"/>
    <d v="2025-01-25T00:00:00"/>
    <x v="2"/>
    <x v="0"/>
    <x v="0"/>
    <x v="0"/>
    <x v="21"/>
    <x v="12"/>
    <x v="1"/>
    <x v="2"/>
  </r>
  <r>
    <s v="TX500251"/>
    <x v="2"/>
    <x v="2"/>
    <n v="142.4"/>
    <x v="241"/>
    <x v="10"/>
    <d v="2025-01-13T00:00:00"/>
    <x v="1"/>
    <x v="4"/>
    <x v="1"/>
    <x v="0"/>
    <x v="21"/>
    <x v="1"/>
    <x v="1"/>
    <x v="1"/>
  </r>
  <r>
    <s v="TX500252"/>
    <x v="12"/>
    <x v="0"/>
    <n v="30.2"/>
    <x v="242"/>
    <x v="10"/>
    <d v="2025-01-15T00:00:00"/>
    <x v="1"/>
    <x v="1"/>
    <x v="2"/>
    <x v="0"/>
    <x v="2"/>
    <x v="5"/>
    <x v="1"/>
    <x v="1"/>
  </r>
  <r>
    <s v="TX500253"/>
    <x v="18"/>
    <x v="2"/>
    <n v="65.3"/>
    <x v="243"/>
    <x v="10"/>
    <d v="2025-01-12T00:00:00"/>
    <x v="3"/>
    <x v="1"/>
    <x v="0"/>
    <x v="0"/>
    <x v="33"/>
    <x v="3"/>
    <x v="1"/>
    <x v="3"/>
  </r>
  <r>
    <s v="TX500254"/>
    <x v="0"/>
    <x v="1"/>
    <n v="33.4"/>
    <x v="119"/>
    <x v="10"/>
    <d v="2025-01-12T00:00:00"/>
    <x v="1"/>
    <x v="1"/>
    <x v="1"/>
    <x v="0"/>
    <x v="22"/>
    <x v="3"/>
    <x v="1"/>
    <x v="1"/>
  </r>
  <r>
    <s v="TX500255"/>
    <x v="7"/>
    <x v="1"/>
    <n v="45.1"/>
    <x v="244"/>
    <x v="10"/>
    <d v="2025-01-19T00:00:00"/>
    <x v="1"/>
    <x v="0"/>
    <x v="0"/>
    <x v="0"/>
    <x v="34"/>
    <x v="9"/>
    <x v="1"/>
    <x v="1"/>
  </r>
  <r>
    <s v="TX500256"/>
    <x v="2"/>
    <x v="3"/>
    <n v="61.7"/>
    <x v="245"/>
    <x v="10"/>
    <d v="2025-01-13T00:00:00"/>
    <x v="2"/>
    <x v="4"/>
    <x v="0"/>
    <x v="0"/>
    <x v="3"/>
    <x v="1"/>
    <x v="1"/>
    <x v="2"/>
  </r>
  <r>
    <s v="TX500257"/>
    <x v="9"/>
    <x v="2"/>
    <n v="45.1"/>
    <x v="246"/>
    <x v="11"/>
    <d v="2025-01-13T00:00:00"/>
    <x v="1"/>
    <x v="4"/>
    <x v="1"/>
    <x v="0"/>
    <x v="3"/>
    <x v="3"/>
    <x v="2"/>
    <x v="1"/>
  </r>
  <r>
    <s v="TX500258"/>
    <x v="15"/>
    <x v="9"/>
    <n v="22.7"/>
    <x v="247"/>
    <x v="11"/>
    <d v="2025-01-17T00:00:00"/>
    <x v="1"/>
    <x v="0"/>
    <x v="2"/>
    <x v="0"/>
    <x v="35"/>
    <x v="0"/>
    <x v="2"/>
    <x v="1"/>
  </r>
  <r>
    <s v="TX500259"/>
    <x v="8"/>
    <x v="0"/>
    <n v="17.600000000000001"/>
    <x v="248"/>
    <x v="11"/>
    <d v="2025-01-13T00:00:00"/>
    <x v="2"/>
    <x v="0"/>
    <x v="2"/>
    <x v="0"/>
    <x v="23"/>
    <x v="3"/>
    <x v="2"/>
    <x v="2"/>
  </r>
  <r>
    <s v="TX500260"/>
    <x v="14"/>
    <x v="1"/>
    <n v="11.3"/>
    <x v="249"/>
    <x v="11"/>
    <d v="2025-01-15T00:00:00"/>
    <x v="2"/>
    <x v="3"/>
    <x v="2"/>
    <x v="0"/>
    <x v="23"/>
    <x v="2"/>
    <x v="2"/>
    <x v="2"/>
  </r>
  <r>
    <s v="TX500261"/>
    <x v="6"/>
    <x v="2"/>
    <n v="53.4"/>
    <x v="250"/>
    <x v="11"/>
    <d v="2025-01-15T00:00:00"/>
    <x v="1"/>
    <x v="3"/>
    <x v="2"/>
    <x v="0"/>
    <x v="36"/>
    <x v="2"/>
    <x v="2"/>
    <x v="1"/>
  </r>
  <r>
    <s v="TX500262"/>
    <x v="6"/>
    <x v="5"/>
    <n v="51.1"/>
    <x v="251"/>
    <x v="11"/>
    <d v="2025-01-14T00:00:00"/>
    <x v="2"/>
    <x v="2"/>
    <x v="2"/>
    <x v="0"/>
    <x v="8"/>
    <x v="1"/>
    <x v="2"/>
    <x v="2"/>
  </r>
  <r>
    <s v="TX500263"/>
    <x v="8"/>
    <x v="1"/>
    <n v="27.5"/>
    <x v="252"/>
    <x v="11"/>
    <d v="2025-01-13T00:00:00"/>
    <x v="1"/>
    <x v="4"/>
    <x v="1"/>
    <x v="0"/>
    <x v="8"/>
    <x v="3"/>
    <x v="2"/>
    <x v="1"/>
  </r>
  <r>
    <s v="TX500264"/>
    <x v="9"/>
    <x v="0"/>
    <n v="33.5"/>
    <x v="253"/>
    <x v="11"/>
    <d v="2025-01-14T00:00:00"/>
    <x v="2"/>
    <x v="0"/>
    <x v="4"/>
    <x v="0"/>
    <x v="8"/>
    <x v="1"/>
    <x v="2"/>
    <x v="2"/>
  </r>
  <r>
    <s v="TX500265"/>
    <x v="4"/>
    <x v="0"/>
    <n v="59.5"/>
    <x v="254"/>
    <x v="11"/>
    <d v="2025-01-12T00:00:00"/>
    <x v="1"/>
    <x v="0"/>
    <x v="2"/>
    <x v="0"/>
    <x v="18"/>
    <x v="7"/>
    <x v="2"/>
    <x v="1"/>
  </r>
  <r>
    <s v="TX500266"/>
    <x v="17"/>
    <x v="12"/>
    <n v="23.5"/>
    <x v="255"/>
    <x v="11"/>
    <d v="2025-01-13T00:00:00"/>
    <x v="2"/>
    <x v="3"/>
    <x v="3"/>
    <x v="0"/>
    <x v="19"/>
    <x v="3"/>
    <x v="2"/>
    <x v="2"/>
  </r>
  <r>
    <s v="TX500267"/>
    <x v="6"/>
    <x v="0"/>
    <n v="49.7"/>
    <x v="256"/>
    <x v="11"/>
    <d v="2025-01-13T00:00:00"/>
    <x v="0"/>
    <x v="1"/>
    <x v="2"/>
    <x v="0"/>
    <x v="20"/>
    <x v="3"/>
    <x v="2"/>
    <x v="0"/>
  </r>
  <r>
    <s v="TX500268"/>
    <x v="6"/>
    <x v="12"/>
    <n v="44.2"/>
    <x v="257"/>
    <x v="11"/>
    <d v="2025-01-15T00:00:00"/>
    <x v="2"/>
    <x v="0"/>
    <x v="2"/>
    <x v="0"/>
    <x v="21"/>
    <x v="2"/>
    <x v="2"/>
    <x v="2"/>
  </r>
  <r>
    <s v="TX500269"/>
    <x v="8"/>
    <x v="0"/>
    <n v="22.1"/>
    <x v="258"/>
    <x v="11"/>
    <d v="2025-01-16T00:00:00"/>
    <x v="2"/>
    <x v="1"/>
    <x v="1"/>
    <x v="0"/>
    <x v="33"/>
    <x v="5"/>
    <x v="2"/>
    <x v="2"/>
  </r>
  <r>
    <s v="TX500270"/>
    <x v="6"/>
    <x v="2"/>
    <n v="90.9"/>
    <x v="259"/>
    <x v="11"/>
    <d v="2025-01-13T00:00:00"/>
    <x v="2"/>
    <x v="2"/>
    <x v="4"/>
    <x v="0"/>
    <x v="3"/>
    <x v="3"/>
    <x v="2"/>
    <x v="2"/>
  </r>
  <r>
    <s v="TX500271"/>
    <x v="8"/>
    <x v="2"/>
    <n v="44.5"/>
    <x v="260"/>
    <x v="11"/>
    <d v="2025-01-13T00:00:00"/>
    <x v="2"/>
    <x v="1"/>
    <x v="0"/>
    <x v="0"/>
    <x v="3"/>
    <x v="3"/>
    <x v="2"/>
    <x v="2"/>
  </r>
  <r>
    <s v="TX500272"/>
    <x v="9"/>
    <x v="13"/>
    <n v="32.299999999999997"/>
    <x v="261"/>
    <x v="11"/>
    <d v="2025-01-16T00:00:00"/>
    <x v="2"/>
    <x v="0"/>
    <x v="0"/>
    <x v="0"/>
    <x v="3"/>
    <x v="5"/>
    <x v="2"/>
    <x v="2"/>
  </r>
  <r>
    <s v="TX500273"/>
    <x v="17"/>
    <x v="2"/>
    <n v="87.5"/>
    <x v="175"/>
    <x v="11"/>
    <d v="2025-01-13T00:00:00"/>
    <x v="2"/>
    <x v="1"/>
    <x v="1"/>
    <x v="0"/>
    <x v="3"/>
    <x v="3"/>
    <x v="2"/>
    <x v="2"/>
  </r>
  <r>
    <s v="TX500274"/>
    <x v="16"/>
    <x v="9"/>
    <n v="48.7"/>
    <x v="262"/>
    <x v="11"/>
    <d v="2025-01-13T00:00:00"/>
    <x v="1"/>
    <x v="2"/>
    <x v="0"/>
    <x v="0"/>
    <x v="3"/>
    <x v="3"/>
    <x v="2"/>
    <x v="1"/>
  </r>
  <r>
    <s v="TX500275"/>
    <x v="0"/>
    <x v="9"/>
    <n v="22.5"/>
    <x v="158"/>
    <x v="11"/>
    <d v="2025-01-13T00:00:00"/>
    <x v="1"/>
    <x v="0"/>
    <x v="0"/>
    <x v="0"/>
    <x v="3"/>
    <x v="3"/>
    <x v="2"/>
    <x v="1"/>
  </r>
  <r>
    <s v="TX500276"/>
    <x v="1"/>
    <x v="8"/>
    <n v="65.900000000000006"/>
    <x v="263"/>
    <x v="11"/>
    <d v="2025-01-15T00:00:00"/>
    <x v="2"/>
    <x v="1"/>
    <x v="2"/>
    <x v="0"/>
    <x v="3"/>
    <x v="2"/>
    <x v="2"/>
    <x v="2"/>
  </r>
  <r>
    <s v="TX500277"/>
    <x v="6"/>
    <x v="9"/>
    <n v="41.9"/>
    <x v="264"/>
    <x v="11"/>
    <d v="2025-01-19T00:00:00"/>
    <x v="0"/>
    <x v="0"/>
    <x v="0"/>
    <x v="0"/>
    <x v="3"/>
    <x v="6"/>
    <x v="2"/>
    <x v="0"/>
  </r>
  <r>
    <s v="TX500278"/>
    <x v="1"/>
    <x v="9"/>
    <n v="67.5"/>
    <x v="265"/>
    <x v="11"/>
    <d v="2025-01-13T00:00:00"/>
    <x v="2"/>
    <x v="0"/>
    <x v="2"/>
    <x v="0"/>
    <x v="3"/>
    <x v="3"/>
    <x v="2"/>
    <x v="2"/>
  </r>
  <r>
    <s v="TX500279"/>
    <x v="9"/>
    <x v="0"/>
    <n v="60.4"/>
    <x v="266"/>
    <x v="12"/>
    <d v="2025-01-15T00:00:00"/>
    <x v="2"/>
    <x v="1"/>
    <x v="1"/>
    <x v="0"/>
    <x v="3"/>
    <x v="1"/>
    <x v="2"/>
    <x v="2"/>
  </r>
  <r>
    <s v="TX500280"/>
    <x v="1"/>
    <x v="3"/>
    <n v="30.4"/>
    <x v="267"/>
    <x v="12"/>
    <d v="2025-01-16T00:00:00"/>
    <x v="2"/>
    <x v="4"/>
    <x v="0"/>
    <x v="0"/>
    <x v="3"/>
    <x v="2"/>
    <x v="2"/>
    <x v="2"/>
  </r>
  <r>
    <s v="TX500281"/>
    <x v="14"/>
    <x v="1"/>
    <n v="24.5"/>
    <x v="268"/>
    <x v="12"/>
    <d v="2025-01-14T00:00:00"/>
    <x v="1"/>
    <x v="3"/>
    <x v="2"/>
    <x v="0"/>
    <x v="3"/>
    <x v="3"/>
    <x v="2"/>
    <x v="1"/>
  </r>
  <r>
    <s v="TX500282"/>
    <x v="2"/>
    <x v="2"/>
    <n v="105.9"/>
    <x v="269"/>
    <x v="12"/>
    <d v="2025-01-18T00:00:00"/>
    <x v="1"/>
    <x v="0"/>
    <x v="0"/>
    <x v="0"/>
    <x v="37"/>
    <x v="0"/>
    <x v="2"/>
    <x v="1"/>
  </r>
  <r>
    <s v="TX500283"/>
    <x v="10"/>
    <x v="25"/>
    <n v="25.9"/>
    <x v="270"/>
    <x v="12"/>
    <d v="2025-01-14T00:00:00"/>
    <x v="2"/>
    <x v="4"/>
    <x v="0"/>
    <x v="0"/>
    <x v="23"/>
    <x v="3"/>
    <x v="2"/>
    <x v="2"/>
  </r>
  <r>
    <s v="TX500284"/>
    <x v="6"/>
    <x v="2"/>
    <n v="66.8"/>
    <x v="271"/>
    <x v="12"/>
    <d v="2025-01-13T00:00:00"/>
    <x v="1"/>
    <x v="0"/>
    <x v="0"/>
    <x v="0"/>
    <x v="23"/>
    <x v="7"/>
    <x v="2"/>
    <x v="1"/>
  </r>
  <r>
    <s v="TX500285"/>
    <x v="6"/>
    <x v="2"/>
    <n v="112.3"/>
    <x v="272"/>
    <x v="12"/>
    <d v="2025-01-14T00:00:00"/>
    <x v="1"/>
    <x v="2"/>
    <x v="4"/>
    <x v="0"/>
    <x v="6"/>
    <x v="3"/>
    <x v="2"/>
    <x v="1"/>
  </r>
  <r>
    <s v="TX500286"/>
    <x v="1"/>
    <x v="13"/>
    <n v="94.1"/>
    <x v="273"/>
    <x v="12"/>
    <d v="2025-01-14T00:00:00"/>
    <x v="2"/>
    <x v="0"/>
    <x v="4"/>
    <x v="0"/>
    <x v="6"/>
    <x v="3"/>
    <x v="2"/>
    <x v="2"/>
  </r>
  <r>
    <s v="TX500287"/>
    <x v="5"/>
    <x v="0"/>
    <n v="40.700000000000003"/>
    <x v="274"/>
    <x v="12"/>
    <d v="2025-01-16T00:00:00"/>
    <x v="2"/>
    <x v="2"/>
    <x v="0"/>
    <x v="0"/>
    <x v="6"/>
    <x v="2"/>
    <x v="2"/>
    <x v="2"/>
  </r>
  <r>
    <s v="TX500288"/>
    <x v="3"/>
    <x v="1"/>
    <n v="71.400000000000006"/>
    <x v="275"/>
    <x v="12"/>
    <d v="2025-01-14T00:00:00"/>
    <x v="1"/>
    <x v="0"/>
    <x v="0"/>
    <x v="0"/>
    <x v="7"/>
    <x v="3"/>
    <x v="2"/>
    <x v="1"/>
  </r>
  <r>
    <s v="TX500289"/>
    <x v="0"/>
    <x v="16"/>
    <n v="15.6"/>
    <x v="276"/>
    <x v="12"/>
    <d v="2025-01-14T00:00:00"/>
    <x v="1"/>
    <x v="1"/>
    <x v="3"/>
    <x v="0"/>
    <x v="8"/>
    <x v="3"/>
    <x v="2"/>
    <x v="1"/>
  </r>
  <r>
    <s v="TX500290"/>
    <x v="10"/>
    <x v="12"/>
    <n v="37.799999999999997"/>
    <x v="277"/>
    <x v="12"/>
    <d v="2025-01-14T00:00:00"/>
    <x v="1"/>
    <x v="2"/>
    <x v="2"/>
    <x v="0"/>
    <x v="8"/>
    <x v="3"/>
    <x v="2"/>
    <x v="1"/>
  </r>
  <r>
    <s v="TX500291"/>
    <x v="4"/>
    <x v="2"/>
    <n v="28.1"/>
    <x v="278"/>
    <x v="12"/>
    <d v="2025-01-17T00:00:00"/>
    <x v="1"/>
    <x v="0"/>
    <x v="0"/>
    <x v="0"/>
    <x v="8"/>
    <x v="5"/>
    <x v="2"/>
    <x v="1"/>
  </r>
  <r>
    <s v="TX500292"/>
    <x v="7"/>
    <x v="13"/>
    <n v="51.4"/>
    <x v="279"/>
    <x v="12"/>
    <d v="2025-01-17T00:00:00"/>
    <x v="1"/>
    <x v="0"/>
    <x v="0"/>
    <x v="0"/>
    <x v="8"/>
    <x v="5"/>
    <x v="2"/>
    <x v="1"/>
  </r>
  <r>
    <s v="TX500293"/>
    <x v="7"/>
    <x v="1"/>
    <n v="97.7"/>
    <x v="280"/>
    <x v="12"/>
    <d v="2025-01-15T00:00:00"/>
    <x v="2"/>
    <x v="4"/>
    <x v="2"/>
    <x v="0"/>
    <x v="17"/>
    <x v="1"/>
    <x v="2"/>
    <x v="2"/>
  </r>
  <r>
    <s v="TX500294"/>
    <x v="1"/>
    <x v="12"/>
    <n v="63.8"/>
    <x v="281"/>
    <x v="12"/>
    <d v="2025-01-14T00:00:00"/>
    <x v="1"/>
    <x v="2"/>
    <x v="0"/>
    <x v="0"/>
    <x v="38"/>
    <x v="3"/>
    <x v="2"/>
    <x v="1"/>
  </r>
  <r>
    <s v="TX500295"/>
    <x v="13"/>
    <x v="1"/>
    <n v="20.100000000000001"/>
    <x v="282"/>
    <x v="12"/>
    <d v="2025-01-15T00:00:00"/>
    <x v="1"/>
    <x v="0"/>
    <x v="2"/>
    <x v="0"/>
    <x v="20"/>
    <x v="1"/>
    <x v="2"/>
    <x v="1"/>
  </r>
  <r>
    <s v="TX500296"/>
    <x v="11"/>
    <x v="2"/>
    <n v="50.4"/>
    <x v="277"/>
    <x v="12"/>
    <d v="2025-01-16T00:00:00"/>
    <x v="2"/>
    <x v="3"/>
    <x v="0"/>
    <x v="0"/>
    <x v="13"/>
    <x v="2"/>
    <x v="2"/>
    <x v="2"/>
  </r>
  <r>
    <s v="TX500297"/>
    <x v="0"/>
    <x v="0"/>
    <n v="16.2"/>
    <x v="283"/>
    <x v="12"/>
    <d v="2025-01-26T00:00:00"/>
    <x v="2"/>
    <x v="1"/>
    <x v="0"/>
    <x v="0"/>
    <x v="1"/>
    <x v="10"/>
    <x v="2"/>
    <x v="2"/>
  </r>
  <r>
    <s v="TX500298"/>
    <x v="6"/>
    <x v="3"/>
    <n v="80.900000000000006"/>
    <x v="284"/>
    <x v="12"/>
    <d v="2025-01-15T00:00:00"/>
    <x v="1"/>
    <x v="4"/>
    <x v="4"/>
    <x v="0"/>
    <x v="2"/>
    <x v="1"/>
    <x v="2"/>
    <x v="1"/>
  </r>
  <r>
    <s v="TX500299"/>
    <x v="9"/>
    <x v="13"/>
    <n v="95.2"/>
    <x v="285"/>
    <x v="12"/>
    <d v="2025-01-15T00:00:00"/>
    <x v="2"/>
    <x v="0"/>
    <x v="2"/>
    <x v="0"/>
    <x v="2"/>
    <x v="1"/>
    <x v="2"/>
    <x v="2"/>
  </r>
  <r>
    <s v="TX500300"/>
    <x v="5"/>
    <x v="8"/>
    <n v="70.400000000000006"/>
    <x v="286"/>
    <x v="12"/>
    <d v="2025-01-14T00:00:00"/>
    <x v="1"/>
    <x v="1"/>
    <x v="1"/>
    <x v="0"/>
    <x v="3"/>
    <x v="3"/>
    <x v="2"/>
    <x v="1"/>
  </r>
  <r>
    <s v="TX500301"/>
    <x v="0"/>
    <x v="9"/>
    <n v="10.7"/>
    <x v="287"/>
    <x v="12"/>
    <d v="2025-01-17T00:00:00"/>
    <x v="2"/>
    <x v="2"/>
    <x v="0"/>
    <x v="0"/>
    <x v="3"/>
    <x v="5"/>
    <x v="2"/>
    <x v="2"/>
  </r>
  <r>
    <s v="TX500302"/>
    <x v="8"/>
    <x v="9"/>
    <n v="19.600000000000001"/>
    <x v="11"/>
    <x v="12"/>
    <d v="2025-01-15T00:00:00"/>
    <x v="2"/>
    <x v="0"/>
    <x v="3"/>
    <x v="0"/>
    <x v="3"/>
    <x v="1"/>
    <x v="2"/>
    <x v="2"/>
  </r>
  <r>
    <s v="TX500303"/>
    <x v="8"/>
    <x v="5"/>
    <n v="34.700000000000003"/>
    <x v="288"/>
    <x v="12"/>
    <d v="2025-01-15T00:00:00"/>
    <x v="2"/>
    <x v="0"/>
    <x v="2"/>
    <x v="0"/>
    <x v="3"/>
    <x v="1"/>
    <x v="2"/>
    <x v="2"/>
  </r>
  <r>
    <s v="TX500304"/>
    <x v="10"/>
    <x v="11"/>
    <n v="34.1"/>
    <x v="289"/>
    <x v="12"/>
    <d v="2025-01-14T00:00:00"/>
    <x v="2"/>
    <x v="4"/>
    <x v="1"/>
    <x v="0"/>
    <x v="3"/>
    <x v="3"/>
    <x v="2"/>
    <x v="2"/>
  </r>
  <r>
    <s v="TX500305"/>
    <x v="0"/>
    <x v="26"/>
    <n v="29.3"/>
    <x v="290"/>
    <x v="12"/>
    <d v="2025-01-13T00:00:00"/>
    <x v="1"/>
    <x v="0"/>
    <x v="1"/>
    <x v="0"/>
    <x v="3"/>
    <x v="7"/>
    <x v="2"/>
    <x v="1"/>
  </r>
  <r>
    <s v="TX500306"/>
    <x v="1"/>
    <x v="0"/>
    <n v="55.2"/>
    <x v="291"/>
    <x v="12"/>
    <d v="2025-01-14T00:00:00"/>
    <x v="2"/>
    <x v="0"/>
    <x v="1"/>
    <x v="0"/>
    <x v="3"/>
    <x v="3"/>
    <x v="2"/>
    <x v="2"/>
  </r>
  <r>
    <s v="TX500307"/>
    <x v="18"/>
    <x v="2"/>
    <n v="26"/>
    <x v="292"/>
    <x v="12"/>
    <d v="2025-01-16T00:00:00"/>
    <x v="2"/>
    <x v="0"/>
    <x v="2"/>
    <x v="0"/>
    <x v="3"/>
    <x v="2"/>
    <x v="2"/>
    <x v="2"/>
  </r>
  <r>
    <s v="TX500308"/>
    <x v="14"/>
    <x v="1"/>
    <n v="14.2"/>
    <x v="293"/>
    <x v="12"/>
    <d v="2025-01-18T00:00:00"/>
    <x v="2"/>
    <x v="3"/>
    <x v="0"/>
    <x v="0"/>
    <x v="39"/>
    <x v="0"/>
    <x v="2"/>
    <x v="2"/>
  </r>
  <r>
    <s v="TX500309"/>
    <x v="8"/>
    <x v="11"/>
    <n v="22.7"/>
    <x v="294"/>
    <x v="13"/>
    <d v="2025-01-15T00:00:00"/>
    <x v="1"/>
    <x v="1"/>
    <x v="0"/>
    <x v="0"/>
    <x v="6"/>
    <x v="3"/>
    <x v="2"/>
    <x v="1"/>
  </r>
  <r>
    <s v="TX500310"/>
    <x v="0"/>
    <x v="20"/>
    <n v="19.8"/>
    <x v="295"/>
    <x v="13"/>
    <d v="2025-01-14T00:00:00"/>
    <x v="2"/>
    <x v="0"/>
    <x v="2"/>
    <x v="0"/>
    <x v="6"/>
    <x v="7"/>
    <x v="2"/>
    <x v="2"/>
  </r>
  <r>
    <s v="TX500311"/>
    <x v="0"/>
    <x v="2"/>
    <n v="31.7"/>
    <x v="296"/>
    <x v="13"/>
    <d v="2025-01-15T00:00:00"/>
    <x v="1"/>
    <x v="2"/>
    <x v="0"/>
    <x v="0"/>
    <x v="6"/>
    <x v="3"/>
    <x v="2"/>
    <x v="1"/>
  </r>
  <r>
    <s v="TX500312"/>
    <x v="8"/>
    <x v="12"/>
    <n v="30.4"/>
    <x v="297"/>
    <x v="13"/>
    <d v="2025-01-18T00:00:00"/>
    <x v="1"/>
    <x v="0"/>
    <x v="0"/>
    <x v="0"/>
    <x v="6"/>
    <x v="5"/>
    <x v="2"/>
    <x v="1"/>
  </r>
  <r>
    <s v="TX500313"/>
    <x v="0"/>
    <x v="12"/>
    <n v="25.6"/>
    <x v="298"/>
    <x v="13"/>
    <d v="2025-01-15T00:00:00"/>
    <x v="1"/>
    <x v="3"/>
    <x v="0"/>
    <x v="0"/>
    <x v="8"/>
    <x v="3"/>
    <x v="2"/>
    <x v="1"/>
  </r>
  <r>
    <s v="TX500314"/>
    <x v="5"/>
    <x v="1"/>
    <n v="34.9"/>
    <x v="299"/>
    <x v="13"/>
    <d v="2025-01-15T00:00:00"/>
    <x v="2"/>
    <x v="2"/>
    <x v="0"/>
    <x v="0"/>
    <x v="9"/>
    <x v="3"/>
    <x v="2"/>
    <x v="2"/>
  </r>
  <r>
    <s v="TX500315"/>
    <x v="7"/>
    <x v="13"/>
    <n v="42.7"/>
    <x v="300"/>
    <x v="13"/>
    <d v="2025-01-17T00:00:00"/>
    <x v="1"/>
    <x v="2"/>
    <x v="1"/>
    <x v="0"/>
    <x v="11"/>
    <x v="2"/>
    <x v="2"/>
    <x v="1"/>
  </r>
  <r>
    <s v="TX500316"/>
    <x v="8"/>
    <x v="0"/>
    <n v="23.9"/>
    <x v="301"/>
    <x v="13"/>
    <d v="2025-01-16T00:00:00"/>
    <x v="2"/>
    <x v="3"/>
    <x v="0"/>
    <x v="0"/>
    <x v="11"/>
    <x v="1"/>
    <x v="2"/>
    <x v="2"/>
  </r>
  <r>
    <s v="TX500317"/>
    <x v="6"/>
    <x v="0"/>
    <n v="124.3"/>
    <x v="302"/>
    <x v="13"/>
    <d v="2025-01-15T00:00:00"/>
    <x v="0"/>
    <x v="2"/>
    <x v="1"/>
    <x v="0"/>
    <x v="21"/>
    <x v="3"/>
    <x v="2"/>
    <x v="0"/>
  </r>
  <r>
    <s v="TX500318"/>
    <x v="8"/>
    <x v="13"/>
    <n v="35.9"/>
    <x v="303"/>
    <x v="13"/>
    <d v="2025-01-15T00:00:00"/>
    <x v="2"/>
    <x v="0"/>
    <x v="1"/>
    <x v="0"/>
    <x v="1"/>
    <x v="3"/>
    <x v="2"/>
    <x v="2"/>
  </r>
  <r>
    <s v="TX500319"/>
    <x v="2"/>
    <x v="1"/>
    <n v="69.099999999999994"/>
    <x v="304"/>
    <x v="13"/>
    <d v="2025-01-17T00:00:00"/>
    <x v="2"/>
    <x v="0"/>
    <x v="2"/>
    <x v="0"/>
    <x v="22"/>
    <x v="2"/>
    <x v="2"/>
    <x v="2"/>
  </r>
  <r>
    <s v="TX500320"/>
    <x v="7"/>
    <x v="0"/>
    <n v="58.4"/>
    <x v="305"/>
    <x v="13"/>
    <d v="2025-01-18T00:00:00"/>
    <x v="1"/>
    <x v="0"/>
    <x v="0"/>
    <x v="0"/>
    <x v="22"/>
    <x v="5"/>
    <x v="2"/>
    <x v="1"/>
  </r>
  <r>
    <s v="TX500321"/>
    <x v="5"/>
    <x v="0"/>
    <n v="65.2"/>
    <x v="221"/>
    <x v="13"/>
    <d v="2025-01-16T00:00:00"/>
    <x v="3"/>
    <x v="4"/>
    <x v="4"/>
    <x v="0"/>
    <x v="3"/>
    <x v="1"/>
    <x v="2"/>
    <x v="3"/>
  </r>
  <r>
    <s v="TX500322"/>
    <x v="8"/>
    <x v="14"/>
    <n v="32.700000000000003"/>
    <x v="306"/>
    <x v="13"/>
    <d v="2025-01-21T00:00:00"/>
    <x v="0"/>
    <x v="4"/>
    <x v="0"/>
    <x v="0"/>
    <x v="3"/>
    <x v="6"/>
    <x v="2"/>
    <x v="0"/>
  </r>
  <r>
    <s v="TX500323"/>
    <x v="10"/>
    <x v="3"/>
    <n v="24.4"/>
    <x v="307"/>
    <x v="13"/>
    <d v="2025-01-15T00:00:00"/>
    <x v="2"/>
    <x v="0"/>
    <x v="0"/>
    <x v="0"/>
    <x v="3"/>
    <x v="3"/>
    <x v="2"/>
    <x v="2"/>
  </r>
  <r>
    <s v="TX500324"/>
    <x v="14"/>
    <x v="1"/>
    <n v="50.4"/>
    <x v="90"/>
    <x v="13"/>
    <d v="2025-01-20T00:00:00"/>
    <x v="1"/>
    <x v="0"/>
    <x v="1"/>
    <x v="0"/>
    <x v="3"/>
    <x v="4"/>
    <x v="2"/>
    <x v="1"/>
  </r>
  <r>
    <s v="TX500325"/>
    <x v="1"/>
    <x v="1"/>
    <n v="100"/>
    <x v="308"/>
    <x v="13"/>
    <d v="2025-01-15T00:00:00"/>
    <x v="2"/>
    <x v="0"/>
    <x v="0"/>
    <x v="0"/>
    <x v="3"/>
    <x v="3"/>
    <x v="2"/>
    <x v="2"/>
  </r>
  <r>
    <s v="TX500326"/>
    <x v="10"/>
    <x v="2"/>
    <n v="43"/>
    <x v="309"/>
    <x v="14"/>
    <d v="2025-01-15T00:00:00"/>
    <x v="2"/>
    <x v="2"/>
    <x v="1"/>
    <x v="0"/>
    <x v="3"/>
    <x v="7"/>
    <x v="2"/>
    <x v="2"/>
  </r>
  <r>
    <s v="TX500327"/>
    <x v="1"/>
    <x v="9"/>
    <n v="64.400000000000006"/>
    <x v="310"/>
    <x v="14"/>
    <d v="2025-01-17T00:00:00"/>
    <x v="1"/>
    <x v="2"/>
    <x v="1"/>
    <x v="0"/>
    <x v="3"/>
    <x v="1"/>
    <x v="2"/>
    <x v="1"/>
  </r>
  <r>
    <s v="TX500328"/>
    <x v="18"/>
    <x v="1"/>
    <n v="57.4"/>
    <x v="311"/>
    <x v="14"/>
    <d v="2025-01-16T00:00:00"/>
    <x v="1"/>
    <x v="2"/>
    <x v="1"/>
    <x v="0"/>
    <x v="3"/>
    <x v="3"/>
    <x v="2"/>
    <x v="1"/>
  </r>
  <r>
    <s v="TX500329"/>
    <x v="2"/>
    <x v="2"/>
    <n v="55.1"/>
    <x v="312"/>
    <x v="14"/>
    <d v="2025-01-18T00:00:00"/>
    <x v="2"/>
    <x v="1"/>
    <x v="0"/>
    <x v="0"/>
    <x v="3"/>
    <x v="2"/>
    <x v="2"/>
    <x v="2"/>
  </r>
  <r>
    <s v="TX500330"/>
    <x v="7"/>
    <x v="12"/>
    <n v="45.4"/>
    <x v="106"/>
    <x v="14"/>
    <d v="2025-01-16T00:00:00"/>
    <x v="2"/>
    <x v="1"/>
    <x v="0"/>
    <x v="0"/>
    <x v="3"/>
    <x v="3"/>
    <x v="2"/>
    <x v="2"/>
  </r>
  <r>
    <s v="TX500331"/>
    <x v="3"/>
    <x v="2"/>
    <n v="93.3"/>
    <x v="313"/>
    <x v="14"/>
    <d v="2025-01-16T00:00:00"/>
    <x v="2"/>
    <x v="0"/>
    <x v="0"/>
    <x v="0"/>
    <x v="40"/>
    <x v="3"/>
    <x v="2"/>
    <x v="2"/>
  </r>
  <r>
    <s v="TX500332"/>
    <x v="2"/>
    <x v="10"/>
    <n v="158.19999999999999"/>
    <x v="314"/>
    <x v="14"/>
    <d v="2025-01-16T00:00:00"/>
    <x v="2"/>
    <x v="1"/>
    <x v="2"/>
    <x v="0"/>
    <x v="16"/>
    <x v="3"/>
    <x v="2"/>
    <x v="2"/>
  </r>
  <r>
    <s v="TX500333"/>
    <x v="2"/>
    <x v="1"/>
    <n v="74.900000000000006"/>
    <x v="315"/>
    <x v="14"/>
    <d v="2025-01-17T00:00:00"/>
    <x v="1"/>
    <x v="3"/>
    <x v="0"/>
    <x v="0"/>
    <x v="6"/>
    <x v="1"/>
    <x v="2"/>
    <x v="1"/>
  </r>
  <r>
    <s v="TX500334"/>
    <x v="8"/>
    <x v="3"/>
    <n v="26"/>
    <x v="316"/>
    <x v="14"/>
    <d v="2025-01-18T00:00:00"/>
    <x v="2"/>
    <x v="1"/>
    <x v="0"/>
    <x v="0"/>
    <x v="8"/>
    <x v="2"/>
    <x v="2"/>
    <x v="2"/>
  </r>
  <r>
    <s v="TX500335"/>
    <x v="9"/>
    <x v="13"/>
    <n v="37.5"/>
    <x v="317"/>
    <x v="14"/>
    <d v="2025-01-16T00:00:00"/>
    <x v="2"/>
    <x v="0"/>
    <x v="1"/>
    <x v="0"/>
    <x v="8"/>
    <x v="3"/>
    <x v="2"/>
    <x v="2"/>
  </r>
  <r>
    <s v="TX500336"/>
    <x v="6"/>
    <x v="1"/>
    <n v="75.8"/>
    <x v="318"/>
    <x v="14"/>
    <d v="2025-01-21T00:00:00"/>
    <x v="1"/>
    <x v="0"/>
    <x v="0"/>
    <x v="0"/>
    <x v="8"/>
    <x v="4"/>
    <x v="2"/>
    <x v="1"/>
  </r>
  <r>
    <s v="TX500337"/>
    <x v="7"/>
    <x v="0"/>
    <n v="48.5"/>
    <x v="319"/>
    <x v="14"/>
    <d v="2025-01-27T00:00:00"/>
    <x v="0"/>
    <x v="4"/>
    <x v="2"/>
    <x v="0"/>
    <x v="8"/>
    <x v="13"/>
    <x v="2"/>
    <x v="0"/>
  </r>
  <r>
    <s v="TX500338"/>
    <x v="6"/>
    <x v="2"/>
    <n v="98.9"/>
    <x v="320"/>
    <x v="14"/>
    <d v="2025-01-17T00:00:00"/>
    <x v="2"/>
    <x v="4"/>
    <x v="1"/>
    <x v="0"/>
    <x v="8"/>
    <x v="1"/>
    <x v="2"/>
    <x v="2"/>
  </r>
  <r>
    <s v="TX500339"/>
    <x v="1"/>
    <x v="4"/>
    <n v="50.9"/>
    <x v="321"/>
    <x v="14"/>
    <d v="2025-01-15T00:00:00"/>
    <x v="1"/>
    <x v="4"/>
    <x v="0"/>
    <x v="0"/>
    <x v="8"/>
    <x v="7"/>
    <x v="2"/>
    <x v="1"/>
  </r>
  <r>
    <s v="TX500340"/>
    <x v="12"/>
    <x v="13"/>
    <n v="84.7"/>
    <x v="322"/>
    <x v="14"/>
    <d v="2025-01-15T00:00:00"/>
    <x v="2"/>
    <x v="2"/>
    <x v="0"/>
    <x v="0"/>
    <x v="8"/>
    <x v="7"/>
    <x v="2"/>
    <x v="2"/>
  </r>
  <r>
    <s v="TX500341"/>
    <x v="8"/>
    <x v="0"/>
    <n v="20.7"/>
    <x v="323"/>
    <x v="14"/>
    <d v="2025-01-17T00:00:00"/>
    <x v="2"/>
    <x v="3"/>
    <x v="2"/>
    <x v="0"/>
    <x v="8"/>
    <x v="1"/>
    <x v="2"/>
    <x v="2"/>
  </r>
  <r>
    <s v="TX500342"/>
    <x v="12"/>
    <x v="11"/>
    <n v="57.8"/>
    <x v="324"/>
    <x v="14"/>
    <d v="2025-01-26T00:00:00"/>
    <x v="1"/>
    <x v="0"/>
    <x v="4"/>
    <x v="0"/>
    <x v="17"/>
    <x v="11"/>
    <x v="2"/>
    <x v="1"/>
  </r>
  <r>
    <s v="TX500343"/>
    <x v="2"/>
    <x v="1"/>
    <n v="106.9"/>
    <x v="325"/>
    <x v="14"/>
    <d v="2025-01-17T00:00:00"/>
    <x v="2"/>
    <x v="0"/>
    <x v="2"/>
    <x v="0"/>
    <x v="41"/>
    <x v="1"/>
    <x v="2"/>
    <x v="2"/>
  </r>
  <r>
    <s v="TX500344"/>
    <x v="3"/>
    <x v="9"/>
    <n v="45.2"/>
    <x v="326"/>
    <x v="14"/>
    <d v="2025-01-19T00:00:00"/>
    <x v="2"/>
    <x v="1"/>
    <x v="0"/>
    <x v="0"/>
    <x v="21"/>
    <x v="5"/>
    <x v="2"/>
    <x v="2"/>
  </r>
  <r>
    <s v="TX500345"/>
    <x v="8"/>
    <x v="15"/>
    <n v="34.6"/>
    <x v="327"/>
    <x v="14"/>
    <d v="2025-01-15T00:00:00"/>
    <x v="2"/>
    <x v="1"/>
    <x v="1"/>
    <x v="0"/>
    <x v="21"/>
    <x v="7"/>
    <x v="2"/>
    <x v="2"/>
  </r>
  <r>
    <s v="TX500346"/>
    <x v="15"/>
    <x v="0"/>
    <n v="43.8"/>
    <x v="328"/>
    <x v="14"/>
    <d v="2025-01-17T00:00:00"/>
    <x v="0"/>
    <x v="0"/>
    <x v="2"/>
    <x v="0"/>
    <x v="21"/>
    <x v="1"/>
    <x v="2"/>
    <x v="0"/>
  </r>
  <r>
    <s v="TX500347"/>
    <x v="15"/>
    <x v="0"/>
    <n v="20.399999999999999"/>
    <x v="190"/>
    <x v="14"/>
    <d v="2025-01-17T00:00:00"/>
    <x v="1"/>
    <x v="4"/>
    <x v="1"/>
    <x v="0"/>
    <x v="21"/>
    <x v="1"/>
    <x v="2"/>
    <x v="1"/>
  </r>
  <r>
    <s v="TX500348"/>
    <x v="1"/>
    <x v="0"/>
    <n v="36.700000000000003"/>
    <x v="329"/>
    <x v="14"/>
    <d v="2025-01-16T00:00:00"/>
    <x v="1"/>
    <x v="0"/>
    <x v="1"/>
    <x v="0"/>
    <x v="1"/>
    <x v="3"/>
    <x v="2"/>
    <x v="1"/>
  </r>
  <r>
    <s v="TX500349"/>
    <x v="8"/>
    <x v="2"/>
    <n v="27.2"/>
    <x v="330"/>
    <x v="14"/>
    <d v="2025-01-19T00:00:00"/>
    <x v="1"/>
    <x v="0"/>
    <x v="2"/>
    <x v="0"/>
    <x v="1"/>
    <x v="5"/>
    <x v="2"/>
    <x v="1"/>
  </r>
  <r>
    <s v="TX500350"/>
    <x v="6"/>
    <x v="0"/>
    <n v="58.2"/>
    <x v="331"/>
    <x v="14"/>
    <d v="2025-01-16T00:00:00"/>
    <x v="2"/>
    <x v="0"/>
    <x v="2"/>
    <x v="0"/>
    <x v="42"/>
    <x v="3"/>
    <x v="2"/>
    <x v="2"/>
  </r>
  <r>
    <s v="TX500351"/>
    <x v="8"/>
    <x v="2"/>
    <n v="25.6"/>
    <x v="332"/>
    <x v="14"/>
    <d v="2025-01-16T00:00:00"/>
    <x v="1"/>
    <x v="4"/>
    <x v="4"/>
    <x v="0"/>
    <x v="2"/>
    <x v="3"/>
    <x v="2"/>
    <x v="1"/>
  </r>
  <r>
    <s v="TX500352"/>
    <x v="10"/>
    <x v="0"/>
    <n v="21.2"/>
    <x v="333"/>
    <x v="14"/>
    <d v="2025-01-15T00:00:00"/>
    <x v="2"/>
    <x v="1"/>
    <x v="2"/>
    <x v="0"/>
    <x v="3"/>
    <x v="7"/>
    <x v="2"/>
    <x v="2"/>
  </r>
  <r>
    <s v="TX500353"/>
    <x v="6"/>
    <x v="1"/>
    <n v="48.2"/>
    <x v="334"/>
    <x v="14"/>
    <d v="2025-01-23T00:00:00"/>
    <x v="2"/>
    <x v="0"/>
    <x v="2"/>
    <x v="0"/>
    <x v="3"/>
    <x v="9"/>
    <x v="2"/>
    <x v="2"/>
  </r>
  <r>
    <s v="TX500354"/>
    <x v="1"/>
    <x v="12"/>
    <n v="83.4"/>
    <x v="335"/>
    <x v="15"/>
    <d v="2025-01-17T00:00:00"/>
    <x v="1"/>
    <x v="0"/>
    <x v="0"/>
    <x v="0"/>
    <x v="3"/>
    <x v="3"/>
    <x v="2"/>
    <x v="1"/>
  </r>
  <r>
    <s v="TX500355"/>
    <x v="9"/>
    <x v="2"/>
    <n v="45.3"/>
    <x v="336"/>
    <x v="15"/>
    <d v="2025-01-22T00:00:00"/>
    <x v="1"/>
    <x v="2"/>
    <x v="1"/>
    <x v="0"/>
    <x v="3"/>
    <x v="4"/>
    <x v="2"/>
    <x v="1"/>
  </r>
  <r>
    <s v="TX500356"/>
    <x v="17"/>
    <x v="0"/>
    <n v="42"/>
    <x v="337"/>
    <x v="15"/>
    <d v="2025-01-17T00:00:00"/>
    <x v="0"/>
    <x v="0"/>
    <x v="0"/>
    <x v="0"/>
    <x v="3"/>
    <x v="3"/>
    <x v="2"/>
    <x v="0"/>
  </r>
  <r>
    <s v="TX500357"/>
    <x v="0"/>
    <x v="11"/>
    <n v="21.8"/>
    <x v="338"/>
    <x v="15"/>
    <d v="2025-01-18T00:00:00"/>
    <x v="2"/>
    <x v="1"/>
    <x v="0"/>
    <x v="0"/>
    <x v="3"/>
    <x v="1"/>
    <x v="2"/>
    <x v="2"/>
  </r>
  <r>
    <s v="TX500358"/>
    <x v="8"/>
    <x v="16"/>
    <n v="21.4"/>
    <x v="339"/>
    <x v="15"/>
    <d v="2025-01-19T00:00:00"/>
    <x v="2"/>
    <x v="1"/>
    <x v="2"/>
    <x v="0"/>
    <x v="3"/>
    <x v="2"/>
    <x v="2"/>
    <x v="2"/>
  </r>
  <r>
    <s v="TX500359"/>
    <x v="10"/>
    <x v="2"/>
    <n v="45"/>
    <x v="340"/>
    <x v="15"/>
    <d v="2025-01-16T00:00:00"/>
    <x v="2"/>
    <x v="1"/>
    <x v="2"/>
    <x v="0"/>
    <x v="3"/>
    <x v="7"/>
    <x v="2"/>
    <x v="2"/>
  </r>
  <r>
    <s v="TX500360"/>
    <x v="14"/>
    <x v="0"/>
    <n v="39.6"/>
    <x v="341"/>
    <x v="15"/>
    <d v="2025-01-17T00:00:00"/>
    <x v="1"/>
    <x v="0"/>
    <x v="2"/>
    <x v="0"/>
    <x v="3"/>
    <x v="3"/>
    <x v="2"/>
    <x v="1"/>
  </r>
  <r>
    <s v="TX500361"/>
    <x v="12"/>
    <x v="2"/>
    <n v="79.8"/>
    <x v="342"/>
    <x v="15"/>
    <d v="2025-01-22T00:00:00"/>
    <x v="2"/>
    <x v="1"/>
    <x v="4"/>
    <x v="0"/>
    <x v="3"/>
    <x v="4"/>
    <x v="2"/>
    <x v="2"/>
  </r>
  <r>
    <s v="TX500362"/>
    <x v="1"/>
    <x v="12"/>
    <n v="63.6"/>
    <x v="343"/>
    <x v="15"/>
    <d v="2025-01-17T00:00:00"/>
    <x v="3"/>
    <x v="0"/>
    <x v="2"/>
    <x v="0"/>
    <x v="24"/>
    <x v="3"/>
    <x v="2"/>
    <x v="3"/>
  </r>
  <r>
    <s v="TX500363"/>
    <x v="7"/>
    <x v="7"/>
    <n v="92.7"/>
    <x v="344"/>
    <x v="15"/>
    <d v="2025-01-20T00:00:00"/>
    <x v="1"/>
    <x v="1"/>
    <x v="2"/>
    <x v="0"/>
    <x v="6"/>
    <x v="5"/>
    <x v="2"/>
    <x v="1"/>
  </r>
  <r>
    <s v="TX500364"/>
    <x v="1"/>
    <x v="12"/>
    <n v="48.4"/>
    <x v="345"/>
    <x v="15"/>
    <d v="2025-01-18T00:00:00"/>
    <x v="2"/>
    <x v="1"/>
    <x v="2"/>
    <x v="0"/>
    <x v="6"/>
    <x v="1"/>
    <x v="2"/>
    <x v="2"/>
  </r>
  <r>
    <s v="TX500365"/>
    <x v="9"/>
    <x v="8"/>
    <n v="36"/>
    <x v="346"/>
    <x v="15"/>
    <d v="2025-01-19T00:00:00"/>
    <x v="1"/>
    <x v="2"/>
    <x v="2"/>
    <x v="0"/>
    <x v="8"/>
    <x v="2"/>
    <x v="2"/>
    <x v="1"/>
  </r>
  <r>
    <s v="TX500366"/>
    <x v="8"/>
    <x v="4"/>
    <n v="27"/>
    <x v="347"/>
    <x v="15"/>
    <d v="2025-01-18T00:00:00"/>
    <x v="2"/>
    <x v="2"/>
    <x v="1"/>
    <x v="0"/>
    <x v="8"/>
    <x v="1"/>
    <x v="2"/>
    <x v="2"/>
  </r>
  <r>
    <s v="TX500367"/>
    <x v="2"/>
    <x v="8"/>
    <n v="53.9"/>
    <x v="348"/>
    <x v="15"/>
    <d v="2025-01-17T00:00:00"/>
    <x v="0"/>
    <x v="0"/>
    <x v="0"/>
    <x v="0"/>
    <x v="8"/>
    <x v="3"/>
    <x v="2"/>
    <x v="0"/>
  </r>
  <r>
    <s v="TX500368"/>
    <x v="3"/>
    <x v="11"/>
    <n v="48.4"/>
    <x v="349"/>
    <x v="15"/>
    <d v="2025-01-17T00:00:00"/>
    <x v="2"/>
    <x v="1"/>
    <x v="0"/>
    <x v="0"/>
    <x v="9"/>
    <x v="3"/>
    <x v="2"/>
    <x v="2"/>
  </r>
  <r>
    <s v="TX500369"/>
    <x v="17"/>
    <x v="1"/>
    <n v="49.9"/>
    <x v="350"/>
    <x v="15"/>
    <d v="2025-01-21T00:00:00"/>
    <x v="1"/>
    <x v="4"/>
    <x v="4"/>
    <x v="0"/>
    <x v="10"/>
    <x v="0"/>
    <x v="2"/>
    <x v="1"/>
  </r>
  <r>
    <s v="TX500370"/>
    <x v="1"/>
    <x v="2"/>
    <n v="51.7"/>
    <x v="351"/>
    <x v="15"/>
    <d v="2025-01-17T00:00:00"/>
    <x v="2"/>
    <x v="0"/>
    <x v="2"/>
    <x v="0"/>
    <x v="11"/>
    <x v="3"/>
    <x v="2"/>
    <x v="2"/>
  </r>
  <r>
    <s v="TX500371"/>
    <x v="8"/>
    <x v="2"/>
    <n v="41.8"/>
    <x v="352"/>
    <x v="15"/>
    <d v="2025-01-18T00:00:00"/>
    <x v="2"/>
    <x v="2"/>
    <x v="0"/>
    <x v="0"/>
    <x v="18"/>
    <x v="1"/>
    <x v="2"/>
    <x v="2"/>
  </r>
  <r>
    <s v="TX500372"/>
    <x v="4"/>
    <x v="12"/>
    <n v="36.200000000000003"/>
    <x v="353"/>
    <x v="16"/>
    <d v="2025-01-18T00:00:00"/>
    <x v="1"/>
    <x v="2"/>
    <x v="2"/>
    <x v="0"/>
    <x v="21"/>
    <x v="3"/>
    <x v="2"/>
    <x v="1"/>
  </r>
  <r>
    <s v="TX500373"/>
    <x v="2"/>
    <x v="0"/>
    <n v="150.9"/>
    <x v="354"/>
    <x v="16"/>
    <d v="2025-01-27T00:00:00"/>
    <x v="1"/>
    <x v="0"/>
    <x v="0"/>
    <x v="0"/>
    <x v="1"/>
    <x v="14"/>
    <x v="2"/>
    <x v="1"/>
  </r>
  <r>
    <s v="TX500374"/>
    <x v="18"/>
    <x v="12"/>
    <n v="77.599999999999994"/>
    <x v="355"/>
    <x v="16"/>
    <d v="2025-01-18T00:00:00"/>
    <x v="0"/>
    <x v="2"/>
    <x v="0"/>
    <x v="0"/>
    <x v="3"/>
    <x v="3"/>
    <x v="2"/>
    <x v="0"/>
  </r>
  <r>
    <s v="TX500375"/>
    <x v="13"/>
    <x v="9"/>
    <n v="65.5"/>
    <x v="356"/>
    <x v="16"/>
    <d v="2025-01-17T00:00:00"/>
    <x v="1"/>
    <x v="1"/>
    <x v="0"/>
    <x v="0"/>
    <x v="3"/>
    <x v="7"/>
    <x v="2"/>
    <x v="1"/>
  </r>
  <r>
    <s v="TX500376"/>
    <x v="6"/>
    <x v="2"/>
    <n v="90.1"/>
    <x v="357"/>
    <x v="16"/>
    <d v="2025-01-19T00:00:00"/>
    <x v="2"/>
    <x v="0"/>
    <x v="0"/>
    <x v="0"/>
    <x v="3"/>
    <x v="1"/>
    <x v="2"/>
    <x v="2"/>
  </r>
  <r>
    <s v="TX500377"/>
    <x v="1"/>
    <x v="1"/>
    <n v="108.3"/>
    <x v="358"/>
    <x v="16"/>
    <d v="2025-01-20T00:00:00"/>
    <x v="3"/>
    <x v="4"/>
    <x v="0"/>
    <x v="0"/>
    <x v="3"/>
    <x v="2"/>
    <x v="2"/>
    <x v="3"/>
  </r>
  <r>
    <s v="TX500378"/>
    <x v="5"/>
    <x v="2"/>
    <n v="59.9"/>
    <x v="359"/>
    <x v="16"/>
    <d v="2025-01-21T00:00:00"/>
    <x v="2"/>
    <x v="0"/>
    <x v="0"/>
    <x v="0"/>
    <x v="3"/>
    <x v="5"/>
    <x v="2"/>
    <x v="2"/>
  </r>
  <r>
    <s v="TX500379"/>
    <x v="2"/>
    <x v="14"/>
    <n v="139"/>
    <x v="360"/>
    <x v="16"/>
    <d v="2025-01-19T00:00:00"/>
    <x v="2"/>
    <x v="1"/>
    <x v="4"/>
    <x v="0"/>
    <x v="3"/>
    <x v="1"/>
    <x v="2"/>
    <x v="2"/>
  </r>
  <r>
    <s v="TX500380"/>
    <x v="6"/>
    <x v="2"/>
    <n v="87.3"/>
    <x v="361"/>
    <x v="16"/>
    <d v="2025-01-18T00:00:00"/>
    <x v="2"/>
    <x v="0"/>
    <x v="0"/>
    <x v="0"/>
    <x v="3"/>
    <x v="3"/>
    <x v="2"/>
    <x v="2"/>
  </r>
  <r>
    <s v="TX500381"/>
    <x v="11"/>
    <x v="12"/>
    <n v="42.3"/>
    <x v="362"/>
    <x v="16"/>
    <d v="2025-01-17T00:00:00"/>
    <x v="1"/>
    <x v="0"/>
    <x v="0"/>
    <x v="0"/>
    <x v="3"/>
    <x v="7"/>
    <x v="2"/>
    <x v="1"/>
  </r>
  <r>
    <s v="TX500382"/>
    <x v="14"/>
    <x v="8"/>
    <n v="103.6"/>
    <x v="363"/>
    <x v="16"/>
    <d v="2025-01-18T00:00:00"/>
    <x v="3"/>
    <x v="0"/>
    <x v="1"/>
    <x v="0"/>
    <x v="3"/>
    <x v="3"/>
    <x v="2"/>
    <x v="3"/>
  </r>
  <r>
    <s v="TX500383"/>
    <x v="6"/>
    <x v="1"/>
    <n v="90.9"/>
    <x v="364"/>
    <x v="16"/>
    <d v="2025-01-18T00:00:00"/>
    <x v="1"/>
    <x v="1"/>
    <x v="0"/>
    <x v="0"/>
    <x v="6"/>
    <x v="3"/>
    <x v="2"/>
    <x v="1"/>
  </r>
  <r>
    <s v="TX500384"/>
    <x v="9"/>
    <x v="27"/>
    <n v="100.9"/>
    <x v="365"/>
    <x v="16"/>
    <d v="2025-01-18T00:00:00"/>
    <x v="2"/>
    <x v="1"/>
    <x v="0"/>
    <x v="0"/>
    <x v="6"/>
    <x v="3"/>
    <x v="2"/>
    <x v="2"/>
  </r>
  <r>
    <s v="TX500385"/>
    <x v="4"/>
    <x v="9"/>
    <n v="36"/>
    <x v="366"/>
    <x v="16"/>
    <d v="2025-01-19T00:00:00"/>
    <x v="2"/>
    <x v="1"/>
    <x v="0"/>
    <x v="0"/>
    <x v="7"/>
    <x v="1"/>
    <x v="2"/>
    <x v="2"/>
  </r>
  <r>
    <s v="TX500386"/>
    <x v="6"/>
    <x v="13"/>
    <n v="83.3"/>
    <x v="367"/>
    <x v="16"/>
    <d v="2025-01-20T00:00:00"/>
    <x v="0"/>
    <x v="2"/>
    <x v="0"/>
    <x v="0"/>
    <x v="7"/>
    <x v="2"/>
    <x v="2"/>
    <x v="0"/>
  </r>
  <r>
    <s v="TX500387"/>
    <x v="2"/>
    <x v="14"/>
    <n v="60.3"/>
    <x v="368"/>
    <x v="16"/>
    <d v="2025-01-18T00:00:00"/>
    <x v="1"/>
    <x v="2"/>
    <x v="1"/>
    <x v="0"/>
    <x v="7"/>
    <x v="3"/>
    <x v="2"/>
    <x v="1"/>
  </r>
  <r>
    <s v="TX500388"/>
    <x v="2"/>
    <x v="13"/>
    <n v="120.3"/>
    <x v="369"/>
    <x v="16"/>
    <d v="2025-01-18T00:00:00"/>
    <x v="1"/>
    <x v="2"/>
    <x v="0"/>
    <x v="0"/>
    <x v="8"/>
    <x v="3"/>
    <x v="2"/>
    <x v="1"/>
  </r>
  <r>
    <s v="TX500389"/>
    <x v="4"/>
    <x v="7"/>
    <n v="34"/>
    <x v="370"/>
    <x v="16"/>
    <d v="2025-01-21T00:00:00"/>
    <x v="2"/>
    <x v="2"/>
    <x v="0"/>
    <x v="0"/>
    <x v="8"/>
    <x v="5"/>
    <x v="2"/>
    <x v="2"/>
  </r>
  <r>
    <s v="TX500390"/>
    <x v="10"/>
    <x v="9"/>
    <n v="42.6"/>
    <x v="226"/>
    <x v="16"/>
    <d v="2025-01-20T00:00:00"/>
    <x v="1"/>
    <x v="1"/>
    <x v="0"/>
    <x v="0"/>
    <x v="8"/>
    <x v="2"/>
    <x v="2"/>
    <x v="1"/>
  </r>
  <r>
    <s v="TX500391"/>
    <x v="5"/>
    <x v="28"/>
    <n v="47.4"/>
    <x v="371"/>
    <x v="16"/>
    <d v="2025-01-17T00:00:00"/>
    <x v="2"/>
    <x v="2"/>
    <x v="1"/>
    <x v="0"/>
    <x v="17"/>
    <x v="7"/>
    <x v="2"/>
    <x v="2"/>
  </r>
  <r>
    <s v="TX500392"/>
    <x v="2"/>
    <x v="0"/>
    <n v="74"/>
    <x v="372"/>
    <x v="17"/>
    <d v="2025-01-19T00:00:00"/>
    <x v="1"/>
    <x v="1"/>
    <x v="0"/>
    <x v="0"/>
    <x v="11"/>
    <x v="3"/>
    <x v="2"/>
    <x v="1"/>
  </r>
  <r>
    <s v="TX500393"/>
    <x v="2"/>
    <x v="9"/>
    <n v="60.4"/>
    <x v="373"/>
    <x v="17"/>
    <d v="2025-01-21T00:00:00"/>
    <x v="2"/>
    <x v="1"/>
    <x v="4"/>
    <x v="0"/>
    <x v="18"/>
    <x v="2"/>
    <x v="2"/>
    <x v="2"/>
  </r>
  <r>
    <s v="TX500394"/>
    <x v="12"/>
    <x v="1"/>
    <n v="69.3"/>
    <x v="374"/>
    <x v="17"/>
    <d v="2025-01-21T00:00:00"/>
    <x v="1"/>
    <x v="1"/>
    <x v="1"/>
    <x v="0"/>
    <x v="13"/>
    <x v="2"/>
    <x v="2"/>
    <x v="1"/>
  </r>
  <r>
    <s v="TX500395"/>
    <x v="5"/>
    <x v="9"/>
    <n v="81"/>
    <x v="375"/>
    <x v="17"/>
    <d v="2025-01-24T00:00:00"/>
    <x v="1"/>
    <x v="3"/>
    <x v="0"/>
    <x v="0"/>
    <x v="21"/>
    <x v="4"/>
    <x v="2"/>
    <x v="1"/>
  </r>
  <r>
    <s v="TX500396"/>
    <x v="15"/>
    <x v="2"/>
    <n v="41.5"/>
    <x v="376"/>
    <x v="17"/>
    <d v="2025-01-20T00:00:00"/>
    <x v="3"/>
    <x v="1"/>
    <x v="0"/>
    <x v="0"/>
    <x v="21"/>
    <x v="1"/>
    <x v="2"/>
    <x v="3"/>
  </r>
  <r>
    <s v="TX500397"/>
    <x v="18"/>
    <x v="1"/>
    <n v="69.7"/>
    <x v="377"/>
    <x v="17"/>
    <d v="2025-01-23T00:00:00"/>
    <x v="1"/>
    <x v="1"/>
    <x v="0"/>
    <x v="0"/>
    <x v="21"/>
    <x v="0"/>
    <x v="2"/>
    <x v="1"/>
  </r>
  <r>
    <s v="TX500398"/>
    <x v="2"/>
    <x v="9"/>
    <n v="83.6"/>
    <x v="378"/>
    <x v="17"/>
    <d v="2025-01-18T00:00:00"/>
    <x v="2"/>
    <x v="4"/>
    <x v="0"/>
    <x v="0"/>
    <x v="1"/>
    <x v="7"/>
    <x v="2"/>
    <x v="2"/>
  </r>
  <r>
    <s v="TX500399"/>
    <x v="8"/>
    <x v="3"/>
    <n v="21.5"/>
    <x v="379"/>
    <x v="17"/>
    <d v="2025-01-20T00:00:00"/>
    <x v="1"/>
    <x v="1"/>
    <x v="4"/>
    <x v="0"/>
    <x v="34"/>
    <x v="1"/>
    <x v="2"/>
    <x v="1"/>
  </r>
  <r>
    <s v="TX500400"/>
    <x v="8"/>
    <x v="8"/>
    <n v="28.6"/>
    <x v="27"/>
    <x v="17"/>
    <d v="2025-01-19T00:00:00"/>
    <x v="1"/>
    <x v="0"/>
    <x v="0"/>
    <x v="0"/>
    <x v="3"/>
    <x v="3"/>
    <x v="2"/>
    <x v="1"/>
  </r>
  <r>
    <s v="TX500401"/>
    <x v="8"/>
    <x v="13"/>
    <n v="18.8"/>
    <x v="380"/>
    <x v="17"/>
    <d v="2025-01-21T00:00:00"/>
    <x v="1"/>
    <x v="3"/>
    <x v="2"/>
    <x v="0"/>
    <x v="3"/>
    <x v="2"/>
    <x v="2"/>
    <x v="1"/>
  </r>
  <r>
    <s v="TX500402"/>
    <x v="10"/>
    <x v="12"/>
    <n v="35.1"/>
    <x v="381"/>
    <x v="17"/>
    <d v="2025-01-18T00:00:00"/>
    <x v="2"/>
    <x v="1"/>
    <x v="1"/>
    <x v="0"/>
    <x v="3"/>
    <x v="7"/>
    <x v="2"/>
    <x v="2"/>
  </r>
  <r>
    <s v="TX500403"/>
    <x v="0"/>
    <x v="1"/>
    <n v="12.7"/>
    <x v="382"/>
    <x v="17"/>
    <d v="2025-01-20T00:00:00"/>
    <x v="2"/>
    <x v="1"/>
    <x v="2"/>
    <x v="0"/>
    <x v="3"/>
    <x v="1"/>
    <x v="2"/>
    <x v="2"/>
  </r>
  <r>
    <s v="TX500404"/>
    <x v="8"/>
    <x v="9"/>
    <n v="27.4"/>
    <x v="383"/>
    <x v="17"/>
    <d v="2025-01-20T00:00:00"/>
    <x v="3"/>
    <x v="0"/>
    <x v="0"/>
    <x v="0"/>
    <x v="3"/>
    <x v="1"/>
    <x v="2"/>
    <x v="3"/>
  </r>
  <r>
    <s v="TX500405"/>
    <x v="10"/>
    <x v="1"/>
    <n v="61.3"/>
    <x v="384"/>
    <x v="17"/>
    <d v="2025-01-19T00:00:00"/>
    <x v="2"/>
    <x v="1"/>
    <x v="0"/>
    <x v="0"/>
    <x v="6"/>
    <x v="3"/>
    <x v="2"/>
    <x v="2"/>
  </r>
  <r>
    <s v="TX500406"/>
    <x v="8"/>
    <x v="1"/>
    <n v="64.7"/>
    <x v="385"/>
    <x v="17"/>
    <d v="2025-01-20T00:00:00"/>
    <x v="2"/>
    <x v="3"/>
    <x v="2"/>
    <x v="0"/>
    <x v="6"/>
    <x v="1"/>
    <x v="2"/>
    <x v="2"/>
  </r>
  <r>
    <s v="TX500407"/>
    <x v="7"/>
    <x v="12"/>
    <n v="91.4"/>
    <x v="386"/>
    <x v="17"/>
    <d v="2025-01-20T00:00:00"/>
    <x v="2"/>
    <x v="0"/>
    <x v="0"/>
    <x v="0"/>
    <x v="8"/>
    <x v="1"/>
    <x v="2"/>
    <x v="2"/>
  </r>
  <r>
    <s v="TX500408"/>
    <x v="0"/>
    <x v="1"/>
    <n v="33.1"/>
    <x v="387"/>
    <x v="18"/>
    <d v="2025-01-20T00:00:00"/>
    <x v="1"/>
    <x v="0"/>
    <x v="2"/>
    <x v="0"/>
    <x v="8"/>
    <x v="3"/>
    <x v="3"/>
    <x v="1"/>
  </r>
  <r>
    <s v="TX500409"/>
    <x v="3"/>
    <x v="1"/>
    <n v="105.6"/>
    <x v="23"/>
    <x v="18"/>
    <d v="2025-01-20T00:00:00"/>
    <x v="1"/>
    <x v="2"/>
    <x v="1"/>
    <x v="0"/>
    <x v="8"/>
    <x v="3"/>
    <x v="3"/>
    <x v="1"/>
  </r>
  <r>
    <s v="TX500410"/>
    <x v="10"/>
    <x v="2"/>
    <n v="46.4"/>
    <x v="388"/>
    <x v="18"/>
    <d v="2025-01-20T00:00:00"/>
    <x v="1"/>
    <x v="2"/>
    <x v="0"/>
    <x v="0"/>
    <x v="9"/>
    <x v="3"/>
    <x v="3"/>
    <x v="1"/>
  </r>
  <r>
    <s v="TX500411"/>
    <x v="9"/>
    <x v="21"/>
    <n v="35.299999999999997"/>
    <x v="389"/>
    <x v="18"/>
    <d v="2025-01-22T00:00:00"/>
    <x v="2"/>
    <x v="4"/>
    <x v="1"/>
    <x v="0"/>
    <x v="11"/>
    <x v="2"/>
    <x v="3"/>
    <x v="2"/>
  </r>
  <r>
    <s v="TX500412"/>
    <x v="0"/>
    <x v="1"/>
    <n v="16.100000000000001"/>
    <x v="390"/>
    <x v="18"/>
    <d v="2025-01-21T00:00:00"/>
    <x v="1"/>
    <x v="3"/>
    <x v="2"/>
    <x v="0"/>
    <x v="32"/>
    <x v="1"/>
    <x v="3"/>
    <x v="1"/>
  </r>
  <r>
    <s v="TX500413"/>
    <x v="4"/>
    <x v="1"/>
    <n v="27.9"/>
    <x v="391"/>
    <x v="18"/>
    <d v="2025-01-22T00:00:00"/>
    <x v="1"/>
    <x v="0"/>
    <x v="0"/>
    <x v="0"/>
    <x v="13"/>
    <x v="2"/>
    <x v="3"/>
    <x v="1"/>
  </r>
  <r>
    <s v="TX500414"/>
    <x v="8"/>
    <x v="0"/>
    <n v="47.1"/>
    <x v="392"/>
    <x v="18"/>
    <d v="2025-01-27T00:00:00"/>
    <x v="2"/>
    <x v="1"/>
    <x v="0"/>
    <x v="0"/>
    <x v="2"/>
    <x v="9"/>
    <x v="3"/>
    <x v="2"/>
  </r>
  <r>
    <s v="TX500415"/>
    <x v="6"/>
    <x v="1"/>
    <n v="85"/>
    <x v="393"/>
    <x v="18"/>
    <d v="2025-01-22T00:00:00"/>
    <x v="0"/>
    <x v="2"/>
    <x v="2"/>
    <x v="0"/>
    <x v="22"/>
    <x v="2"/>
    <x v="3"/>
    <x v="0"/>
  </r>
  <r>
    <s v="TX500416"/>
    <x v="18"/>
    <x v="1"/>
    <n v="89"/>
    <x v="394"/>
    <x v="18"/>
    <d v="2025-01-21T00:00:00"/>
    <x v="2"/>
    <x v="0"/>
    <x v="0"/>
    <x v="0"/>
    <x v="3"/>
    <x v="1"/>
    <x v="3"/>
    <x v="2"/>
  </r>
  <r>
    <s v="TX500417"/>
    <x v="16"/>
    <x v="2"/>
    <n v="36.6"/>
    <x v="17"/>
    <x v="18"/>
    <d v="2025-01-20T00:00:00"/>
    <x v="3"/>
    <x v="3"/>
    <x v="2"/>
    <x v="0"/>
    <x v="3"/>
    <x v="3"/>
    <x v="3"/>
    <x v="3"/>
  </r>
  <r>
    <s v="TX500418"/>
    <x v="6"/>
    <x v="3"/>
    <n v="43.5"/>
    <x v="395"/>
    <x v="18"/>
    <d v="2025-01-20T00:00:00"/>
    <x v="1"/>
    <x v="1"/>
    <x v="2"/>
    <x v="0"/>
    <x v="3"/>
    <x v="3"/>
    <x v="3"/>
    <x v="1"/>
  </r>
  <r>
    <s v="TX500419"/>
    <x v="9"/>
    <x v="10"/>
    <n v="30.5"/>
    <x v="396"/>
    <x v="18"/>
    <d v="2025-01-19T00:00:00"/>
    <x v="2"/>
    <x v="3"/>
    <x v="0"/>
    <x v="0"/>
    <x v="3"/>
    <x v="7"/>
    <x v="3"/>
    <x v="2"/>
  </r>
  <r>
    <s v="TX500420"/>
    <x v="1"/>
    <x v="1"/>
    <n v="107.7"/>
    <x v="397"/>
    <x v="18"/>
    <d v="2025-01-23T00:00:00"/>
    <x v="1"/>
    <x v="3"/>
    <x v="4"/>
    <x v="0"/>
    <x v="3"/>
    <x v="5"/>
    <x v="3"/>
    <x v="1"/>
  </r>
  <r>
    <s v="TX500421"/>
    <x v="17"/>
    <x v="18"/>
    <n v="57.1"/>
    <x v="398"/>
    <x v="18"/>
    <d v="2025-01-20T00:00:00"/>
    <x v="1"/>
    <x v="1"/>
    <x v="0"/>
    <x v="0"/>
    <x v="3"/>
    <x v="3"/>
    <x v="3"/>
    <x v="1"/>
  </r>
  <r>
    <s v="TX500422"/>
    <x v="2"/>
    <x v="7"/>
    <n v="111.7"/>
    <x v="399"/>
    <x v="18"/>
    <d v="2025-01-20T00:00:00"/>
    <x v="2"/>
    <x v="4"/>
    <x v="2"/>
    <x v="0"/>
    <x v="3"/>
    <x v="3"/>
    <x v="3"/>
    <x v="2"/>
  </r>
  <r>
    <s v="TX500423"/>
    <x v="18"/>
    <x v="3"/>
    <n v="44.3"/>
    <x v="400"/>
    <x v="18"/>
    <d v="2025-01-22T00:00:00"/>
    <x v="1"/>
    <x v="3"/>
    <x v="2"/>
    <x v="0"/>
    <x v="3"/>
    <x v="2"/>
    <x v="3"/>
    <x v="1"/>
  </r>
  <r>
    <s v="TX500424"/>
    <x v="2"/>
    <x v="8"/>
    <n v="95.8"/>
    <x v="401"/>
    <x v="18"/>
    <d v="2025-01-25T00:00:00"/>
    <x v="3"/>
    <x v="0"/>
    <x v="0"/>
    <x v="0"/>
    <x v="3"/>
    <x v="4"/>
    <x v="3"/>
    <x v="3"/>
  </r>
  <r>
    <s v="TX500425"/>
    <x v="10"/>
    <x v="3"/>
    <n v="22.6"/>
    <x v="402"/>
    <x v="18"/>
    <d v="2025-01-22T00:00:00"/>
    <x v="2"/>
    <x v="3"/>
    <x v="1"/>
    <x v="0"/>
    <x v="3"/>
    <x v="2"/>
    <x v="3"/>
    <x v="2"/>
  </r>
  <r>
    <s v="TX500426"/>
    <x v="8"/>
    <x v="8"/>
    <n v="25.6"/>
    <x v="403"/>
    <x v="18"/>
    <d v="2025-01-21T00:00:00"/>
    <x v="2"/>
    <x v="4"/>
    <x v="0"/>
    <x v="0"/>
    <x v="3"/>
    <x v="1"/>
    <x v="3"/>
    <x v="2"/>
  </r>
  <r>
    <s v="TX500427"/>
    <x v="6"/>
    <x v="27"/>
    <n v="54.3"/>
    <x v="404"/>
    <x v="18"/>
    <d v="2025-01-22T00:00:00"/>
    <x v="2"/>
    <x v="4"/>
    <x v="0"/>
    <x v="0"/>
    <x v="3"/>
    <x v="2"/>
    <x v="3"/>
    <x v="2"/>
  </r>
  <r>
    <s v="TX500428"/>
    <x v="18"/>
    <x v="15"/>
    <n v="51.3"/>
    <x v="405"/>
    <x v="18"/>
    <d v="2025-01-21T00:00:00"/>
    <x v="1"/>
    <x v="0"/>
    <x v="2"/>
    <x v="0"/>
    <x v="3"/>
    <x v="1"/>
    <x v="3"/>
    <x v="1"/>
  </r>
  <r>
    <s v="TX500429"/>
    <x v="0"/>
    <x v="8"/>
    <n v="25.6"/>
    <x v="403"/>
    <x v="18"/>
    <d v="2025-01-20T00:00:00"/>
    <x v="2"/>
    <x v="1"/>
    <x v="1"/>
    <x v="0"/>
    <x v="3"/>
    <x v="3"/>
    <x v="3"/>
    <x v="2"/>
  </r>
  <r>
    <s v="TX500430"/>
    <x v="0"/>
    <x v="1"/>
    <n v="15.6"/>
    <x v="406"/>
    <x v="18"/>
    <d v="2025-01-20T00:00:00"/>
    <x v="2"/>
    <x v="2"/>
    <x v="2"/>
    <x v="0"/>
    <x v="3"/>
    <x v="3"/>
    <x v="3"/>
    <x v="2"/>
  </r>
  <r>
    <s v="TX500431"/>
    <x v="8"/>
    <x v="2"/>
    <n v="30.3"/>
    <x v="407"/>
    <x v="18"/>
    <d v="2025-01-23T00:00:00"/>
    <x v="2"/>
    <x v="0"/>
    <x v="1"/>
    <x v="0"/>
    <x v="3"/>
    <x v="5"/>
    <x v="3"/>
    <x v="2"/>
  </r>
  <r>
    <s v="TX500432"/>
    <x v="12"/>
    <x v="1"/>
    <n v="30.3"/>
    <x v="408"/>
    <x v="18"/>
    <d v="2025-01-24T00:00:00"/>
    <x v="2"/>
    <x v="0"/>
    <x v="2"/>
    <x v="0"/>
    <x v="37"/>
    <x v="0"/>
    <x v="3"/>
    <x v="2"/>
  </r>
  <r>
    <s v="TX500433"/>
    <x v="10"/>
    <x v="2"/>
    <n v="53"/>
    <x v="409"/>
    <x v="18"/>
    <d v="2025-01-26T00:00:00"/>
    <x v="2"/>
    <x v="2"/>
    <x v="0"/>
    <x v="0"/>
    <x v="24"/>
    <x v="6"/>
    <x v="3"/>
    <x v="2"/>
  </r>
  <r>
    <s v="TX500434"/>
    <x v="5"/>
    <x v="16"/>
    <n v="59.9"/>
    <x v="410"/>
    <x v="18"/>
    <d v="2025-01-22T00:00:00"/>
    <x v="1"/>
    <x v="2"/>
    <x v="4"/>
    <x v="0"/>
    <x v="25"/>
    <x v="2"/>
    <x v="3"/>
    <x v="1"/>
  </r>
  <r>
    <s v="TX500435"/>
    <x v="9"/>
    <x v="1"/>
    <n v="45.7"/>
    <x v="411"/>
    <x v="18"/>
    <d v="2025-01-20T00:00:00"/>
    <x v="2"/>
    <x v="1"/>
    <x v="2"/>
    <x v="0"/>
    <x v="6"/>
    <x v="3"/>
    <x v="3"/>
    <x v="2"/>
  </r>
  <r>
    <s v="TX500436"/>
    <x v="8"/>
    <x v="12"/>
    <n v="46.1"/>
    <x v="412"/>
    <x v="18"/>
    <d v="2025-01-20T00:00:00"/>
    <x v="1"/>
    <x v="0"/>
    <x v="0"/>
    <x v="0"/>
    <x v="6"/>
    <x v="3"/>
    <x v="3"/>
    <x v="1"/>
  </r>
  <r>
    <s v="TX500437"/>
    <x v="8"/>
    <x v="2"/>
    <n v="17.5"/>
    <x v="413"/>
    <x v="18"/>
    <d v="2025-01-20T00:00:00"/>
    <x v="2"/>
    <x v="0"/>
    <x v="2"/>
    <x v="0"/>
    <x v="8"/>
    <x v="3"/>
    <x v="3"/>
    <x v="2"/>
  </r>
  <r>
    <s v="TX500438"/>
    <x v="10"/>
    <x v="2"/>
    <n v="36.5"/>
    <x v="414"/>
    <x v="18"/>
    <d v="2025-01-30T00:00:00"/>
    <x v="1"/>
    <x v="2"/>
    <x v="0"/>
    <x v="0"/>
    <x v="8"/>
    <x v="11"/>
    <x v="3"/>
    <x v="1"/>
  </r>
  <r>
    <s v="TX500439"/>
    <x v="8"/>
    <x v="1"/>
    <n v="47.5"/>
    <x v="415"/>
    <x v="19"/>
    <d v="2025-01-22T00:00:00"/>
    <x v="2"/>
    <x v="1"/>
    <x v="0"/>
    <x v="0"/>
    <x v="8"/>
    <x v="1"/>
    <x v="3"/>
    <x v="2"/>
  </r>
  <r>
    <s v="TX500440"/>
    <x v="6"/>
    <x v="9"/>
    <n v="45.6"/>
    <x v="416"/>
    <x v="19"/>
    <d v="2025-01-22T00:00:00"/>
    <x v="2"/>
    <x v="0"/>
    <x v="2"/>
    <x v="0"/>
    <x v="8"/>
    <x v="1"/>
    <x v="3"/>
    <x v="2"/>
  </r>
  <r>
    <s v="TX500441"/>
    <x v="9"/>
    <x v="1"/>
    <n v="50.5"/>
    <x v="95"/>
    <x v="19"/>
    <d v="2025-01-22T00:00:00"/>
    <x v="1"/>
    <x v="0"/>
    <x v="1"/>
    <x v="0"/>
    <x v="17"/>
    <x v="1"/>
    <x v="3"/>
    <x v="1"/>
  </r>
  <r>
    <s v="TX500442"/>
    <x v="2"/>
    <x v="7"/>
    <n v="99.8"/>
    <x v="417"/>
    <x v="19"/>
    <d v="2025-01-23T00:00:00"/>
    <x v="2"/>
    <x v="2"/>
    <x v="1"/>
    <x v="0"/>
    <x v="17"/>
    <x v="2"/>
    <x v="3"/>
    <x v="2"/>
  </r>
  <r>
    <s v="TX500443"/>
    <x v="8"/>
    <x v="20"/>
    <n v="19.2"/>
    <x v="346"/>
    <x v="19"/>
    <d v="2025-01-22T00:00:00"/>
    <x v="3"/>
    <x v="4"/>
    <x v="1"/>
    <x v="0"/>
    <x v="26"/>
    <x v="1"/>
    <x v="3"/>
    <x v="3"/>
  </r>
  <r>
    <s v="TX500444"/>
    <x v="17"/>
    <x v="2"/>
    <n v="22.6"/>
    <x v="418"/>
    <x v="19"/>
    <d v="2025-01-21T00:00:00"/>
    <x v="1"/>
    <x v="1"/>
    <x v="0"/>
    <x v="0"/>
    <x v="11"/>
    <x v="3"/>
    <x v="3"/>
    <x v="1"/>
  </r>
  <r>
    <s v="TX500445"/>
    <x v="1"/>
    <x v="20"/>
    <n v="126.9"/>
    <x v="419"/>
    <x v="19"/>
    <d v="2025-01-22T00:00:00"/>
    <x v="2"/>
    <x v="0"/>
    <x v="2"/>
    <x v="0"/>
    <x v="11"/>
    <x v="1"/>
    <x v="3"/>
    <x v="2"/>
  </r>
  <r>
    <s v="TX500446"/>
    <x v="2"/>
    <x v="1"/>
    <n v="100.3"/>
    <x v="420"/>
    <x v="19"/>
    <d v="2025-01-21T00:00:00"/>
    <x v="2"/>
    <x v="0"/>
    <x v="1"/>
    <x v="0"/>
    <x v="11"/>
    <x v="3"/>
    <x v="3"/>
    <x v="2"/>
  </r>
  <r>
    <s v="TX500447"/>
    <x v="4"/>
    <x v="16"/>
    <n v="24.6"/>
    <x v="421"/>
    <x v="19"/>
    <d v="2025-01-21T00:00:00"/>
    <x v="2"/>
    <x v="4"/>
    <x v="0"/>
    <x v="0"/>
    <x v="13"/>
    <x v="3"/>
    <x v="3"/>
    <x v="2"/>
  </r>
  <r>
    <s v="TX500448"/>
    <x v="6"/>
    <x v="1"/>
    <n v="47.3"/>
    <x v="422"/>
    <x v="19"/>
    <d v="2025-01-21T00:00:00"/>
    <x v="1"/>
    <x v="1"/>
    <x v="2"/>
    <x v="0"/>
    <x v="13"/>
    <x v="3"/>
    <x v="3"/>
    <x v="1"/>
  </r>
  <r>
    <s v="TX500449"/>
    <x v="6"/>
    <x v="3"/>
    <n v="40.799999999999997"/>
    <x v="423"/>
    <x v="19"/>
    <d v="2025-01-23T00:00:00"/>
    <x v="2"/>
    <x v="2"/>
    <x v="2"/>
    <x v="0"/>
    <x v="21"/>
    <x v="2"/>
    <x v="3"/>
    <x v="2"/>
  </r>
  <r>
    <s v="TX500450"/>
    <x v="8"/>
    <x v="8"/>
    <n v="49.2"/>
    <x v="424"/>
    <x v="19"/>
    <d v="2025-01-22T00:00:00"/>
    <x v="2"/>
    <x v="0"/>
    <x v="0"/>
    <x v="0"/>
    <x v="1"/>
    <x v="1"/>
    <x v="3"/>
    <x v="2"/>
  </r>
  <r>
    <s v="TX500451"/>
    <x v="8"/>
    <x v="0"/>
    <n v="28.5"/>
    <x v="425"/>
    <x v="19"/>
    <d v="2025-01-22T00:00:00"/>
    <x v="0"/>
    <x v="2"/>
    <x v="1"/>
    <x v="0"/>
    <x v="3"/>
    <x v="1"/>
    <x v="3"/>
    <x v="0"/>
  </r>
  <r>
    <s v="TX500452"/>
    <x v="18"/>
    <x v="1"/>
    <n v="36.799999999999997"/>
    <x v="426"/>
    <x v="19"/>
    <d v="2025-01-26T00:00:00"/>
    <x v="2"/>
    <x v="0"/>
    <x v="2"/>
    <x v="0"/>
    <x v="3"/>
    <x v="4"/>
    <x v="3"/>
    <x v="2"/>
  </r>
  <r>
    <s v="TX500453"/>
    <x v="7"/>
    <x v="2"/>
    <n v="33.5"/>
    <x v="427"/>
    <x v="19"/>
    <d v="2025-01-21T00:00:00"/>
    <x v="2"/>
    <x v="0"/>
    <x v="1"/>
    <x v="0"/>
    <x v="3"/>
    <x v="3"/>
    <x v="3"/>
    <x v="2"/>
  </r>
  <r>
    <s v="TX500454"/>
    <x v="6"/>
    <x v="13"/>
    <n v="62.5"/>
    <x v="428"/>
    <x v="19"/>
    <d v="2025-01-22T00:00:00"/>
    <x v="2"/>
    <x v="0"/>
    <x v="0"/>
    <x v="0"/>
    <x v="3"/>
    <x v="1"/>
    <x v="3"/>
    <x v="2"/>
  </r>
  <r>
    <s v="TX500455"/>
    <x v="8"/>
    <x v="29"/>
    <n v="47.9"/>
    <x v="429"/>
    <x v="19"/>
    <d v="2025-01-21T00:00:00"/>
    <x v="2"/>
    <x v="3"/>
    <x v="0"/>
    <x v="0"/>
    <x v="3"/>
    <x v="3"/>
    <x v="3"/>
    <x v="2"/>
  </r>
  <r>
    <s v="TX500456"/>
    <x v="6"/>
    <x v="13"/>
    <n v="92.9"/>
    <x v="430"/>
    <x v="19"/>
    <d v="2025-01-31T00:00:00"/>
    <x v="2"/>
    <x v="0"/>
    <x v="4"/>
    <x v="0"/>
    <x v="3"/>
    <x v="11"/>
    <x v="3"/>
    <x v="2"/>
  </r>
  <r>
    <s v="TX500457"/>
    <x v="12"/>
    <x v="2"/>
    <n v="44.1"/>
    <x v="431"/>
    <x v="19"/>
    <d v="2025-01-20T00:00:00"/>
    <x v="2"/>
    <x v="1"/>
    <x v="1"/>
    <x v="0"/>
    <x v="43"/>
    <x v="7"/>
    <x v="3"/>
    <x v="2"/>
  </r>
  <r>
    <s v="TX500458"/>
    <x v="0"/>
    <x v="0"/>
    <n v="11.4"/>
    <x v="432"/>
    <x v="20"/>
    <d v="2025-01-23T00:00:00"/>
    <x v="2"/>
    <x v="2"/>
    <x v="0"/>
    <x v="0"/>
    <x v="5"/>
    <x v="1"/>
    <x v="3"/>
    <x v="2"/>
  </r>
  <r>
    <s v="TX500459"/>
    <x v="6"/>
    <x v="0"/>
    <n v="83.7"/>
    <x v="433"/>
    <x v="20"/>
    <d v="2025-01-23T00:00:00"/>
    <x v="2"/>
    <x v="0"/>
    <x v="2"/>
    <x v="0"/>
    <x v="6"/>
    <x v="1"/>
    <x v="3"/>
    <x v="2"/>
  </r>
  <r>
    <s v="TX500460"/>
    <x v="10"/>
    <x v="1"/>
    <n v="23.2"/>
    <x v="434"/>
    <x v="20"/>
    <d v="2025-01-22T00:00:00"/>
    <x v="1"/>
    <x v="2"/>
    <x v="0"/>
    <x v="0"/>
    <x v="8"/>
    <x v="3"/>
    <x v="3"/>
    <x v="1"/>
  </r>
  <r>
    <s v="TX500461"/>
    <x v="2"/>
    <x v="0"/>
    <n v="162.1"/>
    <x v="435"/>
    <x v="20"/>
    <d v="2025-01-24T00:00:00"/>
    <x v="2"/>
    <x v="0"/>
    <x v="2"/>
    <x v="0"/>
    <x v="9"/>
    <x v="2"/>
    <x v="3"/>
    <x v="2"/>
  </r>
  <r>
    <s v="TX500462"/>
    <x v="6"/>
    <x v="12"/>
    <n v="49.2"/>
    <x v="436"/>
    <x v="20"/>
    <d v="2025-01-25T00:00:00"/>
    <x v="1"/>
    <x v="1"/>
    <x v="0"/>
    <x v="0"/>
    <x v="9"/>
    <x v="5"/>
    <x v="3"/>
    <x v="1"/>
  </r>
  <r>
    <s v="TX500463"/>
    <x v="1"/>
    <x v="1"/>
    <n v="61"/>
    <x v="164"/>
    <x v="20"/>
    <d v="2025-01-22T00:00:00"/>
    <x v="1"/>
    <x v="3"/>
    <x v="0"/>
    <x v="0"/>
    <x v="10"/>
    <x v="3"/>
    <x v="3"/>
    <x v="1"/>
  </r>
  <r>
    <s v="TX500464"/>
    <x v="2"/>
    <x v="7"/>
    <n v="53.1"/>
    <x v="437"/>
    <x v="20"/>
    <d v="2025-01-23T00:00:00"/>
    <x v="1"/>
    <x v="0"/>
    <x v="0"/>
    <x v="0"/>
    <x v="11"/>
    <x v="1"/>
    <x v="3"/>
    <x v="1"/>
  </r>
  <r>
    <s v="TX500465"/>
    <x v="4"/>
    <x v="1"/>
    <n v="22.4"/>
    <x v="438"/>
    <x v="20"/>
    <d v="2025-01-23T00:00:00"/>
    <x v="0"/>
    <x v="1"/>
    <x v="2"/>
    <x v="0"/>
    <x v="13"/>
    <x v="1"/>
    <x v="3"/>
    <x v="0"/>
  </r>
  <r>
    <s v="TX500466"/>
    <x v="1"/>
    <x v="9"/>
    <n v="75.3"/>
    <x v="439"/>
    <x v="20"/>
    <d v="2025-01-22T00:00:00"/>
    <x v="1"/>
    <x v="0"/>
    <x v="0"/>
    <x v="0"/>
    <x v="21"/>
    <x v="3"/>
    <x v="3"/>
    <x v="1"/>
  </r>
  <r>
    <s v="TX500467"/>
    <x v="6"/>
    <x v="0"/>
    <n v="48.5"/>
    <x v="319"/>
    <x v="20"/>
    <d v="2025-01-22T00:00:00"/>
    <x v="2"/>
    <x v="0"/>
    <x v="1"/>
    <x v="0"/>
    <x v="21"/>
    <x v="3"/>
    <x v="3"/>
    <x v="2"/>
  </r>
  <r>
    <s v="TX500468"/>
    <x v="6"/>
    <x v="0"/>
    <n v="42.6"/>
    <x v="440"/>
    <x v="20"/>
    <d v="2025-01-25T00:00:00"/>
    <x v="2"/>
    <x v="3"/>
    <x v="0"/>
    <x v="0"/>
    <x v="1"/>
    <x v="5"/>
    <x v="3"/>
    <x v="2"/>
  </r>
  <r>
    <s v="TX500469"/>
    <x v="5"/>
    <x v="9"/>
    <n v="49"/>
    <x v="441"/>
    <x v="20"/>
    <d v="2025-01-22T00:00:00"/>
    <x v="1"/>
    <x v="0"/>
    <x v="0"/>
    <x v="0"/>
    <x v="22"/>
    <x v="3"/>
    <x v="3"/>
    <x v="1"/>
  </r>
  <r>
    <s v="TX500470"/>
    <x v="8"/>
    <x v="2"/>
    <n v="31.3"/>
    <x v="442"/>
    <x v="20"/>
    <d v="2025-01-22T00:00:00"/>
    <x v="1"/>
    <x v="2"/>
    <x v="1"/>
    <x v="0"/>
    <x v="3"/>
    <x v="3"/>
    <x v="3"/>
    <x v="1"/>
  </r>
  <r>
    <s v="TX500471"/>
    <x v="2"/>
    <x v="1"/>
    <n v="85.4"/>
    <x v="443"/>
    <x v="20"/>
    <d v="2025-01-22T00:00:00"/>
    <x v="2"/>
    <x v="2"/>
    <x v="0"/>
    <x v="0"/>
    <x v="3"/>
    <x v="3"/>
    <x v="3"/>
    <x v="2"/>
  </r>
  <r>
    <s v="TX500472"/>
    <x v="8"/>
    <x v="12"/>
    <n v="40"/>
    <x v="444"/>
    <x v="20"/>
    <d v="2025-01-22T00:00:00"/>
    <x v="3"/>
    <x v="0"/>
    <x v="2"/>
    <x v="0"/>
    <x v="3"/>
    <x v="3"/>
    <x v="3"/>
    <x v="3"/>
  </r>
  <r>
    <s v="TX500473"/>
    <x v="5"/>
    <x v="1"/>
    <n v="38.5"/>
    <x v="445"/>
    <x v="20"/>
    <d v="2025-01-24T00:00:00"/>
    <x v="1"/>
    <x v="1"/>
    <x v="2"/>
    <x v="0"/>
    <x v="3"/>
    <x v="2"/>
    <x v="3"/>
    <x v="1"/>
  </r>
  <r>
    <s v="TX500474"/>
    <x v="2"/>
    <x v="1"/>
    <n v="57.8"/>
    <x v="446"/>
    <x v="20"/>
    <d v="2025-01-22T00:00:00"/>
    <x v="0"/>
    <x v="0"/>
    <x v="0"/>
    <x v="0"/>
    <x v="3"/>
    <x v="3"/>
    <x v="3"/>
    <x v="0"/>
  </r>
  <r>
    <s v="TX500475"/>
    <x v="8"/>
    <x v="0"/>
    <n v="19.2"/>
    <x v="447"/>
    <x v="20"/>
    <d v="2025-01-22T00:00:00"/>
    <x v="2"/>
    <x v="0"/>
    <x v="4"/>
    <x v="0"/>
    <x v="3"/>
    <x v="3"/>
    <x v="3"/>
    <x v="2"/>
  </r>
  <r>
    <s v="TX500476"/>
    <x v="6"/>
    <x v="13"/>
    <n v="114.8"/>
    <x v="448"/>
    <x v="20"/>
    <d v="2025-01-24T00:00:00"/>
    <x v="1"/>
    <x v="1"/>
    <x v="1"/>
    <x v="0"/>
    <x v="3"/>
    <x v="2"/>
    <x v="3"/>
    <x v="1"/>
  </r>
  <r>
    <s v="TX500477"/>
    <x v="10"/>
    <x v="3"/>
    <n v="48.4"/>
    <x v="449"/>
    <x v="20"/>
    <d v="2025-01-24T00:00:00"/>
    <x v="2"/>
    <x v="3"/>
    <x v="1"/>
    <x v="0"/>
    <x v="3"/>
    <x v="2"/>
    <x v="3"/>
    <x v="2"/>
  </r>
  <r>
    <s v="TX500478"/>
    <x v="9"/>
    <x v="9"/>
    <n v="73.2"/>
    <x v="450"/>
    <x v="20"/>
    <d v="2025-01-22T00:00:00"/>
    <x v="2"/>
    <x v="1"/>
    <x v="4"/>
    <x v="0"/>
    <x v="3"/>
    <x v="3"/>
    <x v="3"/>
    <x v="2"/>
  </r>
  <r>
    <s v="TX500479"/>
    <x v="15"/>
    <x v="1"/>
    <n v="48.6"/>
    <x v="451"/>
    <x v="20"/>
    <d v="2025-01-25T00:00:00"/>
    <x v="2"/>
    <x v="3"/>
    <x v="0"/>
    <x v="0"/>
    <x v="3"/>
    <x v="5"/>
    <x v="3"/>
    <x v="2"/>
  </r>
  <r>
    <s v="TX500480"/>
    <x v="0"/>
    <x v="13"/>
    <n v="48.7"/>
    <x v="452"/>
    <x v="20"/>
    <d v="2025-01-22T00:00:00"/>
    <x v="1"/>
    <x v="0"/>
    <x v="0"/>
    <x v="0"/>
    <x v="3"/>
    <x v="3"/>
    <x v="3"/>
    <x v="1"/>
  </r>
  <r>
    <s v="TX500481"/>
    <x v="4"/>
    <x v="1"/>
    <n v="32.200000000000003"/>
    <x v="453"/>
    <x v="20"/>
    <d v="2025-01-24T00:00:00"/>
    <x v="1"/>
    <x v="2"/>
    <x v="2"/>
    <x v="0"/>
    <x v="3"/>
    <x v="2"/>
    <x v="3"/>
    <x v="1"/>
  </r>
  <r>
    <s v="TX500482"/>
    <x v="15"/>
    <x v="8"/>
    <n v="25.8"/>
    <x v="454"/>
    <x v="20"/>
    <d v="2025-01-22T00:00:00"/>
    <x v="1"/>
    <x v="0"/>
    <x v="0"/>
    <x v="0"/>
    <x v="37"/>
    <x v="3"/>
    <x v="3"/>
    <x v="1"/>
  </r>
  <r>
    <s v="TX500483"/>
    <x v="6"/>
    <x v="1"/>
    <n v="94.8"/>
    <x v="455"/>
    <x v="21"/>
    <d v="2025-01-25T00:00:00"/>
    <x v="2"/>
    <x v="1"/>
    <x v="1"/>
    <x v="0"/>
    <x v="25"/>
    <x v="2"/>
    <x v="3"/>
    <x v="2"/>
  </r>
  <r>
    <s v="TX500484"/>
    <x v="15"/>
    <x v="30"/>
    <n v="56.8"/>
    <x v="456"/>
    <x v="21"/>
    <d v="2025-01-25T00:00:00"/>
    <x v="1"/>
    <x v="0"/>
    <x v="0"/>
    <x v="0"/>
    <x v="25"/>
    <x v="2"/>
    <x v="3"/>
    <x v="1"/>
  </r>
  <r>
    <s v="TX500485"/>
    <x v="8"/>
    <x v="27"/>
    <n v="18.3"/>
    <x v="457"/>
    <x v="21"/>
    <d v="2025-01-29T00:00:00"/>
    <x v="2"/>
    <x v="2"/>
    <x v="2"/>
    <x v="0"/>
    <x v="23"/>
    <x v="6"/>
    <x v="3"/>
    <x v="2"/>
  </r>
  <r>
    <s v="TX500486"/>
    <x v="0"/>
    <x v="2"/>
    <n v="16.8"/>
    <x v="458"/>
    <x v="21"/>
    <d v="2025-01-27T00:00:00"/>
    <x v="2"/>
    <x v="2"/>
    <x v="2"/>
    <x v="0"/>
    <x v="8"/>
    <x v="0"/>
    <x v="3"/>
    <x v="2"/>
  </r>
  <r>
    <s v="TX500487"/>
    <x v="5"/>
    <x v="5"/>
    <n v="35.799999999999997"/>
    <x v="459"/>
    <x v="21"/>
    <d v="2025-01-23T00:00:00"/>
    <x v="1"/>
    <x v="1"/>
    <x v="0"/>
    <x v="0"/>
    <x v="17"/>
    <x v="3"/>
    <x v="3"/>
    <x v="1"/>
  </r>
  <r>
    <s v="TX500488"/>
    <x v="18"/>
    <x v="0"/>
    <n v="64.900000000000006"/>
    <x v="460"/>
    <x v="21"/>
    <d v="2025-01-23T00:00:00"/>
    <x v="1"/>
    <x v="0"/>
    <x v="1"/>
    <x v="0"/>
    <x v="17"/>
    <x v="3"/>
    <x v="3"/>
    <x v="1"/>
  </r>
  <r>
    <s v="TX500489"/>
    <x v="18"/>
    <x v="0"/>
    <n v="28.5"/>
    <x v="425"/>
    <x v="21"/>
    <d v="2025-01-24T00:00:00"/>
    <x v="0"/>
    <x v="1"/>
    <x v="0"/>
    <x v="0"/>
    <x v="9"/>
    <x v="1"/>
    <x v="3"/>
    <x v="0"/>
  </r>
  <r>
    <s v="TX500490"/>
    <x v="18"/>
    <x v="1"/>
    <n v="103.5"/>
    <x v="461"/>
    <x v="21"/>
    <d v="2025-01-24T00:00:00"/>
    <x v="2"/>
    <x v="1"/>
    <x v="0"/>
    <x v="0"/>
    <x v="10"/>
    <x v="1"/>
    <x v="3"/>
    <x v="2"/>
  </r>
  <r>
    <s v="TX500491"/>
    <x v="4"/>
    <x v="1"/>
    <n v="41.2"/>
    <x v="462"/>
    <x v="21"/>
    <d v="2025-01-23T00:00:00"/>
    <x v="2"/>
    <x v="1"/>
    <x v="0"/>
    <x v="0"/>
    <x v="10"/>
    <x v="3"/>
    <x v="3"/>
    <x v="2"/>
  </r>
  <r>
    <s v="TX500492"/>
    <x v="9"/>
    <x v="0"/>
    <n v="37.799999999999997"/>
    <x v="463"/>
    <x v="21"/>
    <d v="2025-01-24T00:00:00"/>
    <x v="2"/>
    <x v="3"/>
    <x v="3"/>
    <x v="0"/>
    <x v="11"/>
    <x v="1"/>
    <x v="3"/>
    <x v="2"/>
  </r>
  <r>
    <s v="TX500493"/>
    <x v="8"/>
    <x v="1"/>
    <n v="42.6"/>
    <x v="464"/>
    <x v="21"/>
    <d v="2025-01-24T00:00:00"/>
    <x v="2"/>
    <x v="4"/>
    <x v="0"/>
    <x v="0"/>
    <x v="11"/>
    <x v="1"/>
    <x v="3"/>
    <x v="2"/>
  </r>
  <r>
    <s v="TX500494"/>
    <x v="8"/>
    <x v="7"/>
    <n v="15.2"/>
    <x v="465"/>
    <x v="21"/>
    <d v="2025-01-24T00:00:00"/>
    <x v="2"/>
    <x v="2"/>
    <x v="0"/>
    <x v="0"/>
    <x v="11"/>
    <x v="1"/>
    <x v="3"/>
    <x v="2"/>
  </r>
  <r>
    <s v="TX500495"/>
    <x v="7"/>
    <x v="12"/>
    <n v="83.4"/>
    <x v="335"/>
    <x v="21"/>
    <d v="2025-01-23T00:00:00"/>
    <x v="2"/>
    <x v="2"/>
    <x v="1"/>
    <x v="0"/>
    <x v="18"/>
    <x v="3"/>
    <x v="3"/>
    <x v="2"/>
  </r>
  <r>
    <s v="TX500496"/>
    <x v="19"/>
    <x v="1"/>
    <n v="27.7"/>
    <x v="466"/>
    <x v="21"/>
    <d v="2025-01-23T00:00:00"/>
    <x v="2"/>
    <x v="0"/>
    <x v="1"/>
    <x v="0"/>
    <x v="13"/>
    <x v="3"/>
    <x v="3"/>
    <x v="2"/>
  </r>
  <r>
    <s v="TX500497"/>
    <x v="10"/>
    <x v="4"/>
    <n v="20.8"/>
    <x v="467"/>
    <x v="21"/>
    <d v="2025-01-23T00:00:00"/>
    <x v="1"/>
    <x v="3"/>
    <x v="0"/>
    <x v="0"/>
    <x v="13"/>
    <x v="3"/>
    <x v="3"/>
    <x v="1"/>
  </r>
  <r>
    <s v="TX500498"/>
    <x v="11"/>
    <x v="1"/>
    <n v="72.7"/>
    <x v="468"/>
    <x v="21"/>
    <d v="2025-01-26T00:00:00"/>
    <x v="2"/>
    <x v="4"/>
    <x v="2"/>
    <x v="0"/>
    <x v="44"/>
    <x v="5"/>
    <x v="3"/>
    <x v="2"/>
  </r>
  <r>
    <s v="TX500499"/>
    <x v="10"/>
    <x v="12"/>
    <n v="38.6"/>
    <x v="55"/>
    <x v="21"/>
    <d v="2025-01-23T00:00:00"/>
    <x v="1"/>
    <x v="0"/>
    <x v="2"/>
    <x v="0"/>
    <x v="22"/>
    <x v="3"/>
    <x v="3"/>
    <x v="1"/>
  </r>
  <r>
    <s v="TX500500"/>
    <x v="8"/>
    <x v="3"/>
    <n v="33.1"/>
    <x v="217"/>
    <x v="21"/>
    <d v="2025-01-23T00:00:00"/>
    <x v="3"/>
    <x v="4"/>
    <x v="3"/>
    <x v="0"/>
    <x v="3"/>
    <x v="3"/>
    <x v="3"/>
    <x v="3"/>
  </r>
  <r>
    <s v="TX500501"/>
    <x v="10"/>
    <x v="1"/>
    <n v="30.5"/>
    <x v="170"/>
    <x v="21"/>
    <d v="2025-01-22T00:00:00"/>
    <x v="0"/>
    <x v="1"/>
    <x v="1"/>
    <x v="0"/>
    <x v="3"/>
    <x v="7"/>
    <x v="3"/>
    <x v="0"/>
  </r>
  <r>
    <s v="TX500502"/>
    <x v="9"/>
    <x v="1"/>
    <n v="69.599999999999994"/>
    <x v="388"/>
    <x v="21"/>
    <d v="2025-01-23T00:00:00"/>
    <x v="1"/>
    <x v="0"/>
    <x v="1"/>
    <x v="0"/>
    <x v="3"/>
    <x v="3"/>
    <x v="3"/>
    <x v="1"/>
  </r>
  <r>
    <s v="TX500503"/>
    <x v="11"/>
    <x v="0"/>
    <n v="42.4"/>
    <x v="469"/>
    <x v="21"/>
    <d v="2025-01-26T00:00:00"/>
    <x v="2"/>
    <x v="1"/>
    <x v="0"/>
    <x v="0"/>
    <x v="3"/>
    <x v="5"/>
    <x v="3"/>
    <x v="2"/>
  </r>
  <r>
    <s v="TX500504"/>
    <x v="17"/>
    <x v="0"/>
    <n v="32.200000000000003"/>
    <x v="390"/>
    <x v="21"/>
    <d v="2025-01-25T00:00:00"/>
    <x v="2"/>
    <x v="2"/>
    <x v="1"/>
    <x v="0"/>
    <x v="3"/>
    <x v="2"/>
    <x v="3"/>
    <x v="2"/>
  </r>
  <r>
    <s v="TX500505"/>
    <x v="6"/>
    <x v="1"/>
    <n v="41.5"/>
    <x v="470"/>
    <x v="21"/>
    <d v="2025-01-25T00:00:00"/>
    <x v="2"/>
    <x v="0"/>
    <x v="2"/>
    <x v="0"/>
    <x v="3"/>
    <x v="2"/>
    <x v="3"/>
    <x v="2"/>
  </r>
  <r>
    <s v="TX500506"/>
    <x v="16"/>
    <x v="11"/>
    <n v="58.9"/>
    <x v="471"/>
    <x v="21"/>
    <d v="2025-01-26T00:00:00"/>
    <x v="2"/>
    <x v="3"/>
    <x v="0"/>
    <x v="0"/>
    <x v="3"/>
    <x v="5"/>
    <x v="3"/>
    <x v="2"/>
  </r>
  <r>
    <s v="TX500507"/>
    <x v="2"/>
    <x v="0"/>
    <n v="57.1"/>
    <x v="472"/>
    <x v="21"/>
    <d v="2025-01-25T00:00:00"/>
    <x v="2"/>
    <x v="1"/>
    <x v="0"/>
    <x v="0"/>
    <x v="3"/>
    <x v="2"/>
    <x v="3"/>
    <x v="2"/>
  </r>
  <r>
    <s v="TX500508"/>
    <x v="6"/>
    <x v="0"/>
    <n v="57.2"/>
    <x v="473"/>
    <x v="21"/>
    <d v="2025-01-24T00:00:00"/>
    <x v="1"/>
    <x v="1"/>
    <x v="0"/>
    <x v="0"/>
    <x v="3"/>
    <x v="1"/>
    <x v="3"/>
    <x v="1"/>
  </r>
  <r>
    <s v="TX500509"/>
    <x v="8"/>
    <x v="1"/>
    <n v="35.1"/>
    <x v="474"/>
    <x v="21"/>
    <d v="2025-01-23T00:00:00"/>
    <x v="1"/>
    <x v="1"/>
    <x v="0"/>
    <x v="0"/>
    <x v="6"/>
    <x v="3"/>
    <x v="3"/>
    <x v="1"/>
  </r>
  <r>
    <s v="TX500510"/>
    <x v="1"/>
    <x v="0"/>
    <n v="52.1"/>
    <x v="475"/>
    <x v="21"/>
    <d v="2025-01-24T00:00:00"/>
    <x v="2"/>
    <x v="4"/>
    <x v="1"/>
    <x v="0"/>
    <x v="8"/>
    <x v="1"/>
    <x v="3"/>
    <x v="2"/>
  </r>
  <r>
    <s v="TX500511"/>
    <x v="13"/>
    <x v="2"/>
    <n v="59.8"/>
    <x v="476"/>
    <x v="21"/>
    <d v="2025-01-24T00:00:00"/>
    <x v="2"/>
    <x v="4"/>
    <x v="1"/>
    <x v="0"/>
    <x v="8"/>
    <x v="1"/>
    <x v="3"/>
    <x v="2"/>
  </r>
  <r>
    <s v="TX500512"/>
    <x v="3"/>
    <x v="12"/>
    <n v="83.3"/>
    <x v="477"/>
    <x v="21"/>
    <d v="2025-01-22T00:00:00"/>
    <x v="0"/>
    <x v="2"/>
    <x v="0"/>
    <x v="0"/>
    <x v="8"/>
    <x v="7"/>
    <x v="3"/>
    <x v="0"/>
  </r>
  <r>
    <s v="TX500513"/>
    <x v="15"/>
    <x v="4"/>
    <n v="41.3"/>
    <x v="478"/>
    <x v="21"/>
    <d v="2025-01-23T00:00:00"/>
    <x v="2"/>
    <x v="1"/>
    <x v="0"/>
    <x v="0"/>
    <x v="8"/>
    <x v="3"/>
    <x v="3"/>
    <x v="2"/>
  </r>
  <r>
    <s v="TX500514"/>
    <x v="8"/>
    <x v="9"/>
    <n v="16"/>
    <x v="479"/>
    <x v="21"/>
    <d v="2025-01-24T00:00:00"/>
    <x v="1"/>
    <x v="4"/>
    <x v="1"/>
    <x v="0"/>
    <x v="9"/>
    <x v="1"/>
    <x v="3"/>
    <x v="1"/>
  </r>
  <r>
    <s v="TX500515"/>
    <x v="10"/>
    <x v="1"/>
    <n v="20.8"/>
    <x v="480"/>
    <x v="22"/>
    <d v="2025-01-25T00:00:00"/>
    <x v="1"/>
    <x v="0"/>
    <x v="2"/>
    <x v="0"/>
    <x v="11"/>
    <x v="1"/>
    <x v="3"/>
    <x v="1"/>
  </r>
  <r>
    <s v="TX500516"/>
    <x v="8"/>
    <x v="31"/>
    <n v="27.1"/>
    <x v="481"/>
    <x v="22"/>
    <d v="2025-01-24T00:00:00"/>
    <x v="0"/>
    <x v="3"/>
    <x v="2"/>
    <x v="0"/>
    <x v="11"/>
    <x v="3"/>
    <x v="3"/>
    <x v="0"/>
  </r>
  <r>
    <s v="TX500517"/>
    <x v="10"/>
    <x v="1"/>
    <n v="38.9"/>
    <x v="482"/>
    <x v="22"/>
    <d v="2025-01-25T00:00:00"/>
    <x v="2"/>
    <x v="0"/>
    <x v="0"/>
    <x v="0"/>
    <x v="18"/>
    <x v="1"/>
    <x v="3"/>
    <x v="2"/>
  </r>
  <r>
    <s v="TX500518"/>
    <x v="0"/>
    <x v="1"/>
    <n v="10.8"/>
    <x v="483"/>
    <x v="22"/>
    <d v="2025-01-26T00:00:00"/>
    <x v="2"/>
    <x v="1"/>
    <x v="2"/>
    <x v="0"/>
    <x v="45"/>
    <x v="2"/>
    <x v="3"/>
    <x v="2"/>
  </r>
  <r>
    <s v="TX500519"/>
    <x v="4"/>
    <x v="15"/>
    <n v="48.4"/>
    <x v="484"/>
    <x v="22"/>
    <d v="2025-01-27T00:00:00"/>
    <x v="2"/>
    <x v="0"/>
    <x v="0"/>
    <x v="0"/>
    <x v="21"/>
    <x v="5"/>
    <x v="3"/>
    <x v="2"/>
  </r>
  <r>
    <s v="TX500520"/>
    <x v="4"/>
    <x v="2"/>
    <n v="29.2"/>
    <x v="485"/>
    <x v="22"/>
    <d v="2025-01-26T00:00:00"/>
    <x v="2"/>
    <x v="1"/>
    <x v="1"/>
    <x v="0"/>
    <x v="2"/>
    <x v="2"/>
    <x v="3"/>
    <x v="2"/>
  </r>
  <r>
    <s v="TX500521"/>
    <x v="4"/>
    <x v="1"/>
    <n v="25.1"/>
    <x v="486"/>
    <x v="22"/>
    <d v="2025-01-24T00:00:00"/>
    <x v="1"/>
    <x v="0"/>
    <x v="1"/>
    <x v="0"/>
    <x v="2"/>
    <x v="3"/>
    <x v="3"/>
    <x v="1"/>
  </r>
  <r>
    <s v="TX500522"/>
    <x v="7"/>
    <x v="2"/>
    <n v="65.599999999999994"/>
    <x v="487"/>
    <x v="22"/>
    <d v="2025-01-23T00:00:00"/>
    <x v="2"/>
    <x v="2"/>
    <x v="1"/>
    <x v="0"/>
    <x v="3"/>
    <x v="7"/>
    <x v="3"/>
    <x v="2"/>
  </r>
  <r>
    <s v="TX500523"/>
    <x v="2"/>
    <x v="1"/>
    <n v="57.3"/>
    <x v="488"/>
    <x v="22"/>
    <d v="2025-01-23T00:00:00"/>
    <x v="0"/>
    <x v="0"/>
    <x v="0"/>
    <x v="0"/>
    <x v="3"/>
    <x v="7"/>
    <x v="3"/>
    <x v="0"/>
  </r>
  <r>
    <s v="TX500524"/>
    <x v="9"/>
    <x v="12"/>
    <n v="22.4"/>
    <x v="70"/>
    <x v="22"/>
    <d v="2025-01-24T00:00:00"/>
    <x v="2"/>
    <x v="2"/>
    <x v="2"/>
    <x v="0"/>
    <x v="3"/>
    <x v="3"/>
    <x v="3"/>
    <x v="2"/>
  </r>
  <r>
    <s v="TX500525"/>
    <x v="12"/>
    <x v="11"/>
    <n v="45.7"/>
    <x v="489"/>
    <x v="22"/>
    <d v="2025-01-24T00:00:00"/>
    <x v="2"/>
    <x v="0"/>
    <x v="0"/>
    <x v="0"/>
    <x v="3"/>
    <x v="3"/>
    <x v="3"/>
    <x v="2"/>
  </r>
  <r>
    <s v="TX500526"/>
    <x v="8"/>
    <x v="1"/>
    <n v="29.3"/>
    <x v="150"/>
    <x v="22"/>
    <d v="2025-01-24T00:00:00"/>
    <x v="1"/>
    <x v="1"/>
    <x v="0"/>
    <x v="0"/>
    <x v="3"/>
    <x v="3"/>
    <x v="3"/>
    <x v="1"/>
  </r>
  <r>
    <s v="TX500527"/>
    <x v="18"/>
    <x v="32"/>
    <n v="74"/>
    <x v="490"/>
    <x v="22"/>
    <d v="2025-01-24T00:00:00"/>
    <x v="1"/>
    <x v="0"/>
    <x v="2"/>
    <x v="0"/>
    <x v="3"/>
    <x v="3"/>
    <x v="3"/>
    <x v="1"/>
  </r>
  <r>
    <s v="TX500528"/>
    <x v="14"/>
    <x v="1"/>
    <n v="39.200000000000003"/>
    <x v="491"/>
    <x v="22"/>
    <d v="2025-01-25T00:00:00"/>
    <x v="2"/>
    <x v="1"/>
    <x v="0"/>
    <x v="0"/>
    <x v="3"/>
    <x v="1"/>
    <x v="3"/>
    <x v="2"/>
  </r>
  <r>
    <s v="TX500529"/>
    <x v="4"/>
    <x v="14"/>
    <n v="62.7"/>
    <x v="492"/>
    <x v="22"/>
    <d v="2025-01-24T00:00:00"/>
    <x v="2"/>
    <x v="2"/>
    <x v="1"/>
    <x v="0"/>
    <x v="3"/>
    <x v="3"/>
    <x v="3"/>
    <x v="2"/>
  </r>
  <r>
    <s v="TX500530"/>
    <x v="10"/>
    <x v="1"/>
    <n v="60.1"/>
    <x v="493"/>
    <x v="22"/>
    <d v="2025-01-24T00:00:00"/>
    <x v="2"/>
    <x v="3"/>
    <x v="0"/>
    <x v="0"/>
    <x v="3"/>
    <x v="3"/>
    <x v="3"/>
    <x v="2"/>
  </r>
  <r>
    <s v="TX500531"/>
    <x v="0"/>
    <x v="12"/>
    <n v="11.2"/>
    <x v="438"/>
    <x v="22"/>
    <d v="2025-01-24T00:00:00"/>
    <x v="2"/>
    <x v="3"/>
    <x v="1"/>
    <x v="0"/>
    <x v="3"/>
    <x v="3"/>
    <x v="3"/>
    <x v="2"/>
  </r>
  <r>
    <s v="TX500532"/>
    <x v="8"/>
    <x v="1"/>
    <n v="22.9"/>
    <x v="494"/>
    <x v="22"/>
    <d v="2025-01-24T00:00:00"/>
    <x v="2"/>
    <x v="0"/>
    <x v="0"/>
    <x v="0"/>
    <x v="6"/>
    <x v="3"/>
    <x v="3"/>
    <x v="2"/>
  </r>
  <r>
    <s v="TX500533"/>
    <x v="1"/>
    <x v="1"/>
    <n v="37.6"/>
    <x v="495"/>
    <x v="22"/>
    <d v="2025-01-26T00:00:00"/>
    <x v="2"/>
    <x v="0"/>
    <x v="0"/>
    <x v="0"/>
    <x v="6"/>
    <x v="2"/>
    <x v="3"/>
    <x v="2"/>
  </r>
  <r>
    <s v="TX500534"/>
    <x v="6"/>
    <x v="0"/>
    <n v="42.4"/>
    <x v="469"/>
    <x v="22"/>
    <d v="2025-01-24T00:00:00"/>
    <x v="2"/>
    <x v="3"/>
    <x v="2"/>
    <x v="0"/>
    <x v="6"/>
    <x v="3"/>
    <x v="3"/>
    <x v="2"/>
  </r>
  <r>
    <s v="TX500535"/>
    <x v="8"/>
    <x v="1"/>
    <n v="19.600000000000001"/>
    <x v="496"/>
    <x v="22"/>
    <d v="2025-01-27T00:00:00"/>
    <x v="2"/>
    <x v="2"/>
    <x v="0"/>
    <x v="0"/>
    <x v="7"/>
    <x v="5"/>
    <x v="3"/>
    <x v="2"/>
  </r>
  <r>
    <s v="TX500536"/>
    <x v="9"/>
    <x v="0"/>
    <n v="90.5"/>
    <x v="497"/>
    <x v="22"/>
    <d v="2025-01-26T00:00:00"/>
    <x v="2"/>
    <x v="2"/>
    <x v="0"/>
    <x v="0"/>
    <x v="7"/>
    <x v="2"/>
    <x v="3"/>
    <x v="2"/>
  </r>
  <r>
    <s v="TX500537"/>
    <x v="16"/>
    <x v="5"/>
    <n v="33.9"/>
    <x v="498"/>
    <x v="22"/>
    <d v="2025-01-24T00:00:00"/>
    <x v="1"/>
    <x v="2"/>
    <x v="1"/>
    <x v="0"/>
    <x v="7"/>
    <x v="3"/>
    <x v="3"/>
    <x v="1"/>
  </r>
  <r>
    <s v="TX500538"/>
    <x v="0"/>
    <x v="1"/>
    <n v="32.799999999999997"/>
    <x v="499"/>
    <x v="22"/>
    <d v="2025-01-25T00:00:00"/>
    <x v="2"/>
    <x v="4"/>
    <x v="4"/>
    <x v="0"/>
    <x v="8"/>
    <x v="1"/>
    <x v="3"/>
    <x v="2"/>
  </r>
  <r>
    <s v="TX500539"/>
    <x v="15"/>
    <x v="0"/>
    <n v="49.9"/>
    <x v="500"/>
    <x v="22"/>
    <d v="2025-01-24T00:00:00"/>
    <x v="1"/>
    <x v="3"/>
    <x v="1"/>
    <x v="0"/>
    <x v="8"/>
    <x v="3"/>
    <x v="3"/>
    <x v="1"/>
  </r>
  <r>
    <s v="TX500540"/>
    <x v="7"/>
    <x v="9"/>
    <n v="79.2"/>
    <x v="501"/>
    <x v="22"/>
    <d v="2025-01-24T00:00:00"/>
    <x v="2"/>
    <x v="4"/>
    <x v="0"/>
    <x v="0"/>
    <x v="8"/>
    <x v="3"/>
    <x v="3"/>
    <x v="2"/>
  </r>
  <r>
    <s v="TX500541"/>
    <x v="8"/>
    <x v="27"/>
    <n v="19.5"/>
    <x v="502"/>
    <x v="22"/>
    <d v="2025-01-25T00:00:00"/>
    <x v="1"/>
    <x v="3"/>
    <x v="2"/>
    <x v="0"/>
    <x v="8"/>
    <x v="1"/>
    <x v="3"/>
    <x v="1"/>
  </r>
  <r>
    <s v="TX500542"/>
    <x v="8"/>
    <x v="12"/>
    <n v="18"/>
    <x v="503"/>
    <x v="22"/>
    <d v="2025-01-24T00:00:00"/>
    <x v="1"/>
    <x v="1"/>
    <x v="0"/>
    <x v="0"/>
    <x v="10"/>
    <x v="3"/>
    <x v="3"/>
    <x v="1"/>
  </r>
  <r>
    <s v="TX500543"/>
    <x v="9"/>
    <x v="2"/>
    <n v="45.9"/>
    <x v="223"/>
    <x v="22"/>
    <d v="2025-01-25T00:00:00"/>
    <x v="2"/>
    <x v="1"/>
    <x v="1"/>
    <x v="0"/>
    <x v="10"/>
    <x v="1"/>
    <x v="3"/>
    <x v="2"/>
  </r>
  <r>
    <s v="TX500544"/>
    <x v="11"/>
    <x v="0"/>
    <n v="41.2"/>
    <x v="504"/>
    <x v="22"/>
    <d v="2025-01-25T00:00:00"/>
    <x v="2"/>
    <x v="1"/>
    <x v="2"/>
    <x v="0"/>
    <x v="11"/>
    <x v="1"/>
    <x v="3"/>
    <x v="2"/>
  </r>
  <r>
    <s v="TX500545"/>
    <x v="2"/>
    <x v="7"/>
    <n v="167.2"/>
    <x v="505"/>
    <x v="22"/>
    <d v="2025-01-25T00:00:00"/>
    <x v="2"/>
    <x v="2"/>
    <x v="2"/>
    <x v="0"/>
    <x v="32"/>
    <x v="1"/>
    <x v="3"/>
    <x v="2"/>
  </r>
  <r>
    <s v="TX500546"/>
    <x v="6"/>
    <x v="17"/>
    <n v="74.5"/>
    <x v="506"/>
    <x v="23"/>
    <d v="2025-01-27T00:00:00"/>
    <x v="2"/>
    <x v="1"/>
    <x v="2"/>
    <x v="0"/>
    <x v="38"/>
    <x v="2"/>
    <x v="3"/>
    <x v="2"/>
  </r>
  <r>
    <s v="TX500547"/>
    <x v="7"/>
    <x v="12"/>
    <n v="39.299999999999997"/>
    <x v="507"/>
    <x v="23"/>
    <d v="2025-01-25T00:00:00"/>
    <x v="0"/>
    <x v="2"/>
    <x v="0"/>
    <x v="0"/>
    <x v="19"/>
    <x v="3"/>
    <x v="3"/>
    <x v="0"/>
  </r>
  <r>
    <s v="TX500548"/>
    <x v="9"/>
    <x v="0"/>
    <n v="68.5"/>
    <x v="508"/>
    <x v="23"/>
    <d v="2025-01-27T00:00:00"/>
    <x v="1"/>
    <x v="1"/>
    <x v="2"/>
    <x v="0"/>
    <x v="12"/>
    <x v="2"/>
    <x v="3"/>
    <x v="1"/>
  </r>
  <r>
    <s v="TX500549"/>
    <x v="0"/>
    <x v="2"/>
    <n v="22.5"/>
    <x v="509"/>
    <x v="23"/>
    <d v="2025-01-24T00:00:00"/>
    <x v="2"/>
    <x v="4"/>
    <x v="0"/>
    <x v="0"/>
    <x v="13"/>
    <x v="7"/>
    <x v="3"/>
    <x v="2"/>
  </r>
  <r>
    <s v="TX500550"/>
    <x v="1"/>
    <x v="0"/>
    <n v="48"/>
    <x v="510"/>
    <x v="23"/>
    <d v="2025-01-25T00:00:00"/>
    <x v="3"/>
    <x v="4"/>
    <x v="1"/>
    <x v="0"/>
    <x v="46"/>
    <x v="3"/>
    <x v="3"/>
    <x v="3"/>
  </r>
  <r>
    <s v="TX500551"/>
    <x v="6"/>
    <x v="0"/>
    <n v="94"/>
    <x v="255"/>
    <x v="23"/>
    <d v="2025-01-25T00:00:00"/>
    <x v="1"/>
    <x v="3"/>
    <x v="1"/>
    <x v="0"/>
    <x v="1"/>
    <x v="3"/>
    <x v="3"/>
    <x v="1"/>
  </r>
  <r>
    <s v="TX500552"/>
    <x v="8"/>
    <x v="2"/>
    <n v="21.9"/>
    <x v="511"/>
    <x v="23"/>
    <d v="2025-01-25T00:00:00"/>
    <x v="2"/>
    <x v="0"/>
    <x v="0"/>
    <x v="0"/>
    <x v="44"/>
    <x v="3"/>
    <x v="3"/>
    <x v="2"/>
  </r>
  <r>
    <s v="TX500553"/>
    <x v="6"/>
    <x v="3"/>
    <n v="64.900000000000006"/>
    <x v="512"/>
    <x v="23"/>
    <d v="2025-01-25T00:00:00"/>
    <x v="2"/>
    <x v="0"/>
    <x v="0"/>
    <x v="0"/>
    <x v="3"/>
    <x v="3"/>
    <x v="3"/>
    <x v="2"/>
  </r>
  <r>
    <s v="TX500554"/>
    <x v="12"/>
    <x v="0"/>
    <n v="52.9"/>
    <x v="513"/>
    <x v="23"/>
    <d v="2025-01-24T00:00:00"/>
    <x v="2"/>
    <x v="1"/>
    <x v="1"/>
    <x v="0"/>
    <x v="3"/>
    <x v="7"/>
    <x v="3"/>
    <x v="2"/>
  </r>
  <r>
    <s v="TX500555"/>
    <x v="8"/>
    <x v="2"/>
    <n v="25.5"/>
    <x v="514"/>
    <x v="23"/>
    <d v="2025-01-25T00:00:00"/>
    <x v="2"/>
    <x v="1"/>
    <x v="2"/>
    <x v="0"/>
    <x v="3"/>
    <x v="3"/>
    <x v="3"/>
    <x v="2"/>
  </r>
  <r>
    <s v="TX500556"/>
    <x v="6"/>
    <x v="2"/>
    <n v="51.9"/>
    <x v="515"/>
    <x v="23"/>
    <d v="2025-01-25T00:00:00"/>
    <x v="2"/>
    <x v="3"/>
    <x v="0"/>
    <x v="0"/>
    <x v="3"/>
    <x v="3"/>
    <x v="3"/>
    <x v="2"/>
  </r>
  <r>
    <s v="TX500557"/>
    <x v="5"/>
    <x v="0"/>
    <n v="46.3"/>
    <x v="516"/>
    <x v="23"/>
    <d v="2025-01-27T00:00:00"/>
    <x v="2"/>
    <x v="4"/>
    <x v="0"/>
    <x v="0"/>
    <x v="3"/>
    <x v="2"/>
    <x v="3"/>
    <x v="2"/>
  </r>
  <r>
    <s v="TX500558"/>
    <x v="6"/>
    <x v="1"/>
    <n v="68.2"/>
    <x v="517"/>
    <x v="23"/>
    <d v="2025-01-26T00:00:00"/>
    <x v="2"/>
    <x v="3"/>
    <x v="0"/>
    <x v="0"/>
    <x v="3"/>
    <x v="1"/>
    <x v="3"/>
    <x v="2"/>
  </r>
  <r>
    <s v="TX500559"/>
    <x v="1"/>
    <x v="0"/>
    <n v="40.299999999999997"/>
    <x v="518"/>
    <x v="23"/>
    <d v="2025-01-25T00:00:00"/>
    <x v="1"/>
    <x v="0"/>
    <x v="1"/>
    <x v="0"/>
    <x v="3"/>
    <x v="3"/>
    <x v="3"/>
    <x v="1"/>
  </r>
  <r>
    <s v="TX500560"/>
    <x v="2"/>
    <x v="2"/>
    <n v="91.3"/>
    <x v="54"/>
    <x v="23"/>
    <d v="2025-01-29T00:00:00"/>
    <x v="1"/>
    <x v="0"/>
    <x v="2"/>
    <x v="0"/>
    <x v="6"/>
    <x v="0"/>
    <x v="3"/>
    <x v="1"/>
  </r>
  <r>
    <s v="TX500561"/>
    <x v="0"/>
    <x v="2"/>
    <n v="11.9"/>
    <x v="519"/>
    <x v="23"/>
    <d v="2025-01-25T00:00:00"/>
    <x v="2"/>
    <x v="0"/>
    <x v="1"/>
    <x v="0"/>
    <x v="6"/>
    <x v="3"/>
    <x v="3"/>
    <x v="2"/>
  </r>
  <r>
    <s v="TX500562"/>
    <x v="2"/>
    <x v="1"/>
    <n v="63.5"/>
    <x v="520"/>
    <x v="23"/>
    <d v="2025-01-26T00:00:00"/>
    <x v="1"/>
    <x v="1"/>
    <x v="0"/>
    <x v="0"/>
    <x v="6"/>
    <x v="1"/>
    <x v="3"/>
    <x v="1"/>
  </r>
  <r>
    <s v="TX500563"/>
    <x v="4"/>
    <x v="1"/>
    <n v="27.1"/>
    <x v="521"/>
    <x v="23"/>
    <d v="2025-01-27T00:00:00"/>
    <x v="1"/>
    <x v="2"/>
    <x v="2"/>
    <x v="0"/>
    <x v="6"/>
    <x v="2"/>
    <x v="3"/>
    <x v="1"/>
  </r>
  <r>
    <s v="TX500564"/>
    <x v="1"/>
    <x v="1"/>
    <n v="82.1"/>
    <x v="522"/>
    <x v="24"/>
    <d v="2025-01-28T00:00:00"/>
    <x v="1"/>
    <x v="1"/>
    <x v="1"/>
    <x v="0"/>
    <x v="7"/>
    <x v="2"/>
    <x v="3"/>
    <x v="1"/>
  </r>
  <r>
    <s v="TX500565"/>
    <x v="3"/>
    <x v="9"/>
    <n v="42.9"/>
    <x v="523"/>
    <x v="24"/>
    <d v="2025-01-27T00:00:00"/>
    <x v="2"/>
    <x v="1"/>
    <x v="0"/>
    <x v="0"/>
    <x v="8"/>
    <x v="1"/>
    <x v="3"/>
    <x v="2"/>
  </r>
  <r>
    <s v="TX500566"/>
    <x v="8"/>
    <x v="5"/>
    <n v="37.9"/>
    <x v="524"/>
    <x v="24"/>
    <d v="2025-02-01T00:00:00"/>
    <x v="1"/>
    <x v="0"/>
    <x v="0"/>
    <x v="0"/>
    <x v="8"/>
    <x v="6"/>
    <x v="3"/>
    <x v="1"/>
  </r>
  <r>
    <s v="TX500567"/>
    <x v="0"/>
    <x v="0"/>
    <n v="22.4"/>
    <x v="525"/>
    <x v="24"/>
    <d v="2025-01-26T00:00:00"/>
    <x v="2"/>
    <x v="0"/>
    <x v="1"/>
    <x v="0"/>
    <x v="17"/>
    <x v="3"/>
    <x v="3"/>
    <x v="2"/>
  </r>
  <r>
    <s v="TX500568"/>
    <x v="2"/>
    <x v="15"/>
    <n v="79.900000000000006"/>
    <x v="526"/>
    <x v="24"/>
    <d v="2025-02-07T00:00:00"/>
    <x v="2"/>
    <x v="3"/>
    <x v="1"/>
    <x v="0"/>
    <x v="11"/>
    <x v="10"/>
    <x v="3"/>
    <x v="2"/>
  </r>
  <r>
    <s v="TX500569"/>
    <x v="1"/>
    <x v="0"/>
    <n v="70.599999999999994"/>
    <x v="527"/>
    <x v="24"/>
    <d v="2025-01-28T00:00:00"/>
    <x v="2"/>
    <x v="0"/>
    <x v="1"/>
    <x v="0"/>
    <x v="11"/>
    <x v="2"/>
    <x v="3"/>
    <x v="2"/>
  </r>
  <r>
    <s v="TX500570"/>
    <x v="6"/>
    <x v="0"/>
    <n v="49.5"/>
    <x v="528"/>
    <x v="24"/>
    <d v="2025-01-27T00:00:00"/>
    <x v="1"/>
    <x v="0"/>
    <x v="0"/>
    <x v="0"/>
    <x v="13"/>
    <x v="1"/>
    <x v="3"/>
    <x v="1"/>
  </r>
  <r>
    <s v="TX500571"/>
    <x v="2"/>
    <x v="1"/>
    <n v="96.6"/>
    <x v="529"/>
    <x v="24"/>
    <d v="2025-01-27T00:00:00"/>
    <x v="1"/>
    <x v="0"/>
    <x v="0"/>
    <x v="0"/>
    <x v="21"/>
    <x v="1"/>
    <x v="3"/>
    <x v="1"/>
  </r>
  <r>
    <s v="TX500572"/>
    <x v="6"/>
    <x v="1"/>
    <n v="52.8"/>
    <x v="142"/>
    <x v="24"/>
    <d v="2025-01-26T00:00:00"/>
    <x v="2"/>
    <x v="1"/>
    <x v="1"/>
    <x v="0"/>
    <x v="21"/>
    <x v="3"/>
    <x v="3"/>
    <x v="2"/>
  </r>
  <r>
    <s v="TX500573"/>
    <x v="2"/>
    <x v="0"/>
    <n v="101.7"/>
    <x v="530"/>
    <x v="24"/>
    <d v="2025-01-26T00:00:00"/>
    <x v="1"/>
    <x v="0"/>
    <x v="0"/>
    <x v="0"/>
    <x v="1"/>
    <x v="3"/>
    <x v="3"/>
    <x v="1"/>
  </r>
  <r>
    <s v="TX500574"/>
    <x v="4"/>
    <x v="9"/>
    <n v="26.9"/>
    <x v="531"/>
    <x v="24"/>
    <d v="2025-01-30T00:00:00"/>
    <x v="2"/>
    <x v="1"/>
    <x v="1"/>
    <x v="0"/>
    <x v="22"/>
    <x v="0"/>
    <x v="3"/>
    <x v="2"/>
  </r>
  <r>
    <s v="TX500575"/>
    <x v="2"/>
    <x v="12"/>
    <n v="211"/>
    <x v="532"/>
    <x v="24"/>
    <d v="2025-01-25T00:00:00"/>
    <x v="2"/>
    <x v="1"/>
    <x v="1"/>
    <x v="0"/>
    <x v="3"/>
    <x v="7"/>
    <x v="3"/>
    <x v="2"/>
  </r>
  <r>
    <s v="TX500576"/>
    <x v="0"/>
    <x v="12"/>
    <n v="21.1"/>
    <x v="533"/>
    <x v="24"/>
    <d v="2025-01-28T00:00:00"/>
    <x v="1"/>
    <x v="4"/>
    <x v="0"/>
    <x v="0"/>
    <x v="3"/>
    <x v="2"/>
    <x v="3"/>
    <x v="1"/>
  </r>
  <r>
    <s v="TX500577"/>
    <x v="10"/>
    <x v="0"/>
    <n v="26.6"/>
    <x v="534"/>
    <x v="24"/>
    <d v="2025-01-27T00:00:00"/>
    <x v="1"/>
    <x v="0"/>
    <x v="4"/>
    <x v="0"/>
    <x v="3"/>
    <x v="1"/>
    <x v="3"/>
    <x v="1"/>
  </r>
  <r>
    <s v="TX500578"/>
    <x v="12"/>
    <x v="12"/>
    <n v="51.2"/>
    <x v="403"/>
    <x v="24"/>
    <d v="2025-01-26T00:00:00"/>
    <x v="2"/>
    <x v="3"/>
    <x v="0"/>
    <x v="0"/>
    <x v="47"/>
    <x v="3"/>
    <x v="3"/>
    <x v="2"/>
  </r>
  <r>
    <s v="TX500579"/>
    <x v="0"/>
    <x v="9"/>
    <n v="10.6"/>
    <x v="535"/>
    <x v="24"/>
    <d v="2025-01-29T00:00:00"/>
    <x v="2"/>
    <x v="0"/>
    <x v="0"/>
    <x v="0"/>
    <x v="8"/>
    <x v="5"/>
    <x v="3"/>
    <x v="2"/>
  </r>
  <r>
    <s v="TX500580"/>
    <x v="6"/>
    <x v="2"/>
    <n v="43.4"/>
    <x v="33"/>
    <x v="24"/>
    <d v="2025-01-28T00:00:00"/>
    <x v="2"/>
    <x v="4"/>
    <x v="0"/>
    <x v="0"/>
    <x v="8"/>
    <x v="2"/>
    <x v="3"/>
    <x v="2"/>
  </r>
  <r>
    <s v="TX500581"/>
    <x v="12"/>
    <x v="0"/>
    <n v="80"/>
    <x v="479"/>
    <x v="24"/>
    <d v="2025-01-25T00:00:00"/>
    <x v="2"/>
    <x v="0"/>
    <x v="2"/>
    <x v="0"/>
    <x v="8"/>
    <x v="7"/>
    <x v="3"/>
    <x v="2"/>
  </r>
  <r>
    <s v="TX500582"/>
    <x v="10"/>
    <x v="12"/>
    <n v="64.7"/>
    <x v="536"/>
    <x v="24"/>
    <d v="2025-01-27T00:00:00"/>
    <x v="2"/>
    <x v="1"/>
    <x v="4"/>
    <x v="0"/>
    <x v="8"/>
    <x v="1"/>
    <x v="3"/>
    <x v="2"/>
  </r>
  <r>
    <s v="TX500583"/>
    <x v="8"/>
    <x v="5"/>
    <n v="26.3"/>
    <x v="537"/>
    <x v="25"/>
    <d v="2025-01-26T00:00:00"/>
    <x v="2"/>
    <x v="4"/>
    <x v="1"/>
    <x v="0"/>
    <x v="26"/>
    <x v="7"/>
    <x v="4"/>
    <x v="2"/>
  </r>
  <r>
    <s v="TX500584"/>
    <x v="10"/>
    <x v="0"/>
    <n v="28.5"/>
    <x v="425"/>
    <x v="25"/>
    <d v="2025-01-26T00:00:00"/>
    <x v="1"/>
    <x v="0"/>
    <x v="1"/>
    <x v="0"/>
    <x v="9"/>
    <x v="7"/>
    <x v="4"/>
    <x v="1"/>
  </r>
  <r>
    <s v="TX500585"/>
    <x v="17"/>
    <x v="0"/>
    <n v="47.8"/>
    <x v="538"/>
    <x v="25"/>
    <d v="2025-01-28T00:00:00"/>
    <x v="2"/>
    <x v="0"/>
    <x v="1"/>
    <x v="0"/>
    <x v="9"/>
    <x v="1"/>
    <x v="4"/>
    <x v="2"/>
  </r>
  <r>
    <s v="TX500586"/>
    <x v="10"/>
    <x v="2"/>
    <n v="42.8"/>
    <x v="539"/>
    <x v="25"/>
    <d v="2025-01-29T00:00:00"/>
    <x v="2"/>
    <x v="4"/>
    <x v="1"/>
    <x v="0"/>
    <x v="11"/>
    <x v="2"/>
    <x v="4"/>
    <x v="2"/>
  </r>
  <r>
    <s v="TX500587"/>
    <x v="6"/>
    <x v="9"/>
    <n v="46.8"/>
    <x v="540"/>
    <x v="25"/>
    <d v="2025-01-31T00:00:00"/>
    <x v="2"/>
    <x v="1"/>
    <x v="2"/>
    <x v="0"/>
    <x v="11"/>
    <x v="0"/>
    <x v="4"/>
    <x v="2"/>
  </r>
  <r>
    <s v="TX500588"/>
    <x v="1"/>
    <x v="7"/>
    <n v="64.099999999999994"/>
    <x v="541"/>
    <x v="25"/>
    <d v="2025-01-27T00:00:00"/>
    <x v="1"/>
    <x v="1"/>
    <x v="0"/>
    <x v="0"/>
    <x v="11"/>
    <x v="3"/>
    <x v="4"/>
    <x v="1"/>
  </r>
  <r>
    <s v="TX500589"/>
    <x v="2"/>
    <x v="0"/>
    <n v="89.1"/>
    <x v="542"/>
    <x v="25"/>
    <d v="2025-01-27T00:00:00"/>
    <x v="2"/>
    <x v="0"/>
    <x v="1"/>
    <x v="0"/>
    <x v="20"/>
    <x v="3"/>
    <x v="4"/>
    <x v="2"/>
  </r>
  <r>
    <s v="TX500590"/>
    <x v="2"/>
    <x v="2"/>
    <n v="83.1"/>
    <x v="543"/>
    <x v="25"/>
    <d v="2025-01-27T00:00:00"/>
    <x v="2"/>
    <x v="2"/>
    <x v="1"/>
    <x v="0"/>
    <x v="13"/>
    <x v="3"/>
    <x v="4"/>
    <x v="2"/>
  </r>
  <r>
    <s v="TX500591"/>
    <x v="8"/>
    <x v="2"/>
    <n v="40.9"/>
    <x v="544"/>
    <x v="25"/>
    <d v="2025-01-27T00:00:00"/>
    <x v="1"/>
    <x v="0"/>
    <x v="0"/>
    <x v="0"/>
    <x v="1"/>
    <x v="3"/>
    <x v="4"/>
    <x v="1"/>
  </r>
  <r>
    <s v="TX500592"/>
    <x v="2"/>
    <x v="1"/>
    <n v="125.7"/>
    <x v="545"/>
    <x v="25"/>
    <d v="2025-01-27T00:00:00"/>
    <x v="2"/>
    <x v="3"/>
    <x v="0"/>
    <x v="0"/>
    <x v="2"/>
    <x v="3"/>
    <x v="4"/>
    <x v="2"/>
  </r>
  <r>
    <s v="TX500593"/>
    <x v="3"/>
    <x v="1"/>
    <n v="30.9"/>
    <x v="546"/>
    <x v="25"/>
    <d v="2025-01-26T00:00:00"/>
    <x v="2"/>
    <x v="2"/>
    <x v="2"/>
    <x v="0"/>
    <x v="22"/>
    <x v="7"/>
    <x v="4"/>
    <x v="2"/>
  </r>
  <r>
    <s v="TX500594"/>
    <x v="8"/>
    <x v="1"/>
    <n v="18.3"/>
    <x v="547"/>
    <x v="25"/>
    <d v="2025-01-27T00:00:00"/>
    <x v="2"/>
    <x v="1"/>
    <x v="0"/>
    <x v="0"/>
    <x v="3"/>
    <x v="3"/>
    <x v="4"/>
    <x v="2"/>
  </r>
  <r>
    <s v="TX500595"/>
    <x v="4"/>
    <x v="1"/>
    <n v="56.5"/>
    <x v="548"/>
    <x v="25"/>
    <d v="2025-01-30T00:00:00"/>
    <x v="1"/>
    <x v="2"/>
    <x v="2"/>
    <x v="0"/>
    <x v="3"/>
    <x v="5"/>
    <x v="4"/>
    <x v="1"/>
  </r>
  <r>
    <s v="TX500596"/>
    <x v="10"/>
    <x v="3"/>
    <n v="29.9"/>
    <x v="549"/>
    <x v="25"/>
    <d v="2025-01-28T00:00:00"/>
    <x v="1"/>
    <x v="4"/>
    <x v="2"/>
    <x v="0"/>
    <x v="3"/>
    <x v="1"/>
    <x v="4"/>
    <x v="1"/>
  </r>
  <r>
    <s v="TX500597"/>
    <x v="5"/>
    <x v="1"/>
    <n v="50.4"/>
    <x v="90"/>
    <x v="25"/>
    <d v="2025-01-27T00:00:00"/>
    <x v="2"/>
    <x v="2"/>
    <x v="0"/>
    <x v="0"/>
    <x v="3"/>
    <x v="3"/>
    <x v="4"/>
    <x v="2"/>
  </r>
  <r>
    <s v="TX500598"/>
    <x v="2"/>
    <x v="0"/>
    <n v="85.8"/>
    <x v="550"/>
    <x v="25"/>
    <d v="2025-01-26T00:00:00"/>
    <x v="2"/>
    <x v="2"/>
    <x v="2"/>
    <x v="0"/>
    <x v="3"/>
    <x v="7"/>
    <x v="4"/>
    <x v="2"/>
  </r>
  <r>
    <s v="TX500599"/>
    <x v="4"/>
    <x v="27"/>
    <n v="66.599999999999994"/>
    <x v="551"/>
    <x v="25"/>
    <d v="2025-01-28T00:00:00"/>
    <x v="1"/>
    <x v="1"/>
    <x v="0"/>
    <x v="0"/>
    <x v="3"/>
    <x v="1"/>
    <x v="4"/>
    <x v="1"/>
  </r>
  <r>
    <s v="TX500600"/>
    <x v="6"/>
    <x v="12"/>
    <n v="70.3"/>
    <x v="552"/>
    <x v="25"/>
    <d v="2025-01-27T00:00:00"/>
    <x v="2"/>
    <x v="0"/>
    <x v="1"/>
    <x v="0"/>
    <x v="3"/>
    <x v="3"/>
    <x v="4"/>
    <x v="2"/>
  </r>
  <r>
    <s v="TX500601"/>
    <x v="8"/>
    <x v="12"/>
    <n v="31"/>
    <x v="553"/>
    <x v="25"/>
    <d v="2025-01-29T00:00:00"/>
    <x v="1"/>
    <x v="0"/>
    <x v="2"/>
    <x v="0"/>
    <x v="3"/>
    <x v="2"/>
    <x v="4"/>
    <x v="1"/>
  </r>
  <r>
    <s v="TX500602"/>
    <x v="7"/>
    <x v="13"/>
    <n v="81.599999999999994"/>
    <x v="554"/>
    <x v="25"/>
    <d v="2025-01-27T00:00:00"/>
    <x v="2"/>
    <x v="1"/>
    <x v="1"/>
    <x v="0"/>
    <x v="37"/>
    <x v="3"/>
    <x v="4"/>
    <x v="2"/>
  </r>
  <r>
    <s v="TX500603"/>
    <x v="1"/>
    <x v="30"/>
    <n v="58.3"/>
    <x v="555"/>
    <x v="25"/>
    <d v="2025-01-27T00:00:00"/>
    <x v="2"/>
    <x v="0"/>
    <x v="0"/>
    <x v="0"/>
    <x v="16"/>
    <x v="3"/>
    <x v="4"/>
    <x v="2"/>
  </r>
  <r>
    <s v="TX500604"/>
    <x v="1"/>
    <x v="12"/>
    <n v="35.1"/>
    <x v="381"/>
    <x v="25"/>
    <d v="2025-01-28T00:00:00"/>
    <x v="1"/>
    <x v="0"/>
    <x v="2"/>
    <x v="0"/>
    <x v="8"/>
    <x v="1"/>
    <x v="4"/>
    <x v="1"/>
  </r>
  <r>
    <s v="TX500605"/>
    <x v="2"/>
    <x v="0"/>
    <n v="80.2"/>
    <x v="556"/>
    <x v="25"/>
    <d v="2025-01-27T00:00:00"/>
    <x v="1"/>
    <x v="3"/>
    <x v="2"/>
    <x v="0"/>
    <x v="8"/>
    <x v="3"/>
    <x v="4"/>
    <x v="1"/>
  </r>
  <r>
    <s v="TX500606"/>
    <x v="14"/>
    <x v="2"/>
    <n v="39.200000000000003"/>
    <x v="557"/>
    <x v="25"/>
    <d v="2025-01-28T00:00:00"/>
    <x v="2"/>
    <x v="1"/>
    <x v="0"/>
    <x v="0"/>
    <x v="9"/>
    <x v="1"/>
    <x v="4"/>
    <x v="2"/>
  </r>
  <r>
    <s v="TX500607"/>
    <x v="0"/>
    <x v="1"/>
    <n v="15.4"/>
    <x v="558"/>
    <x v="25"/>
    <d v="2025-01-26T00:00:00"/>
    <x v="2"/>
    <x v="3"/>
    <x v="0"/>
    <x v="0"/>
    <x v="48"/>
    <x v="7"/>
    <x v="4"/>
    <x v="2"/>
  </r>
  <r>
    <s v="TX500608"/>
    <x v="3"/>
    <x v="2"/>
    <n v="65.400000000000006"/>
    <x v="338"/>
    <x v="25"/>
    <d v="2025-01-29T00:00:00"/>
    <x v="1"/>
    <x v="3"/>
    <x v="0"/>
    <x v="0"/>
    <x v="18"/>
    <x v="2"/>
    <x v="4"/>
    <x v="1"/>
  </r>
  <r>
    <s v="TX500609"/>
    <x v="1"/>
    <x v="8"/>
    <n v="63.2"/>
    <x v="559"/>
    <x v="25"/>
    <d v="2025-01-28T00:00:00"/>
    <x v="2"/>
    <x v="1"/>
    <x v="0"/>
    <x v="0"/>
    <x v="19"/>
    <x v="1"/>
    <x v="4"/>
    <x v="2"/>
  </r>
  <r>
    <s v="TX500610"/>
    <x v="1"/>
    <x v="13"/>
    <n v="35.700000000000003"/>
    <x v="560"/>
    <x v="25"/>
    <d v="2025-01-30T00:00:00"/>
    <x v="2"/>
    <x v="4"/>
    <x v="1"/>
    <x v="0"/>
    <x v="19"/>
    <x v="5"/>
    <x v="4"/>
    <x v="2"/>
  </r>
  <r>
    <s v="TX500611"/>
    <x v="0"/>
    <x v="28"/>
    <n v="26.2"/>
    <x v="561"/>
    <x v="25"/>
    <d v="2025-01-27T00:00:00"/>
    <x v="2"/>
    <x v="3"/>
    <x v="0"/>
    <x v="0"/>
    <x v="21"/>
    <x v="3"/>
    <x v="4"/>
    <x v="2"/>
  </r>
  <r>
    <s v="TX500612"/>
    <x v="7"/>
    <x v="1"/>
    <n v="31"/>
    <x v="85"/>
    <x v="25"/>
    <d v="2025-01-27T00:00:00"/>
    <x v="2"/>
    <x v="0"/>
    <x v="2"/>
    <x v="0"/>
    <x v="1"/>
    <x v="3"/>
    <x v="4"/>
    <x v="2"/>
  </r>
  <r>
    <s v="TX500613"/>
    <x v="8"/>
    <x v="12"/>
    <n v="37.700000000000003"/>
    <x v="562"/>
    <x v="25"/>
    <d v="2025-01-27T00:00:00"/>
    <x v="2"/>
    <x v="1"/>
    <x v="0"/>
    <x v="0"/>
    <x v="22"/>
    <x v="3"/>
    <x v="4"/>
    <x v="2"/>
  </r>
  <r>
    <s v="TX500614"/>
    <x v="10"/>
    <x v="33"/>
    <n v="43.6"/>
    <x v="563"/>
    <x v="25"/>
    <d v="2025-01-28T00:00:00"/>
    <x v="2"/>
    <x v="4"/>
    <x v="1"/>
    <x v="0"/>
    <x v="3"/>
    <x v="1"/>
    <x v="4"/>
    <x v="2"/>
  </r>
  <r>
    <s v="TX500615"/>
    <x v="9"/>
    <x v="12"/>
    <n v="26.5"/>
    <x v="101"/>
    <x v="25"/>
    <d v="2025-01-28T00:00:00"/>
    <x v="1"/>
    <x v="0"/>
    <x v="4"/>
    <x v="0"/>
    <x v="3"/>
    <x v="1"/>
    <x v="4"/>
    <x v="1"/>
  </r>
  <r>
    <s v="TX500616"/>
    <x v="0"/>
    <x v="1"/>
    <n v="34.6"/>
    <x v="564"/>
    <x v="25"/>
    <d v="2025-01-27T00:00:00"/>
    <x v="1"/>
    <x v="4"/>
    <x v="1"/>
    <x v="0"/>
    <x v="3"/>
    <x v="3"/>
    <x v="4"/>
    <x v="1"/>
  </r>
  <r>
    <s v="TX500617"/>
    <x v="8"/>
    <x v="1"/>
    <n v="58.2"/>
    <x v="565"/>
    <x v="25"/>
    <d v="2025-01-27T00:00:00"/>
    <x v="1"/>
    <x v="2"/>
    <x v="2"/>
    <x v="0"/>
    <x v="3"/>
    <x v="3"/>
    <x v="4"/>
    <x v="1"/>
  </r>
  <r>
    <s v="TX500618"/>
    <x v="7"/>
    <x v="0"/>
    <n v="30.2"/>
    <x v="242"/>
    <x v="26"/>
    <d v="2025-01-28T00:00:00"/>
    <x v="2"/>
    <x v="2"/>
    <x v="1"/>
    <x v="0"/>
    <x v="3"/>
    <x v="3"/>
    <x v="4"/>
    <x v="2"/>
  </r>
  <r>
    <s v="TX500619"/>
    <x v="1"/>
    <x v="7"/>
    <n v="53.2"/>
    <x v="566"/>
    <x v="26"/>
    <d v="2025-01-28T00:00:00"/>
    <x v="1"/>
    <x v="0"/>
    <x v="2"/>
    <x v="0"/>
    <x v="5"/>
    <x v="3"/>
    <x v="4"/>
    <x v="1"/>
  </r>
  <r>
    <s v="TX500620"/>
    <x v="12"/>
    <x v="13"/>
    <n v="51.1"/>
    <x v="567"/>
    <x v="26"/>
    <d v="2025-01-27T00:00:00"/>
    <x v="1"/>
    <x v="1"/>
    <x v="2"/>
    <x v="0"/>
    <x v="5"/>
    <x v="7"/>
    <x v="4"/>
    <x v="1"/>
  </r>
  <r>
    <s v="TX500621"/>
    <x v="1"/>
    <x v="0"/>
    <n v="105.4"/>
    <x v="568"/>
    <x v="26"/>
    <d v="2025-01-31T00:00:00"/>
    <x v="2"/>
    <x v="1"/>
    <x v="2"/>
    <x v="0"/>
    <x v="23"/>
    <x v="5"/>
    <x v="4"/>
    <x v="2"/>
  </r>
  <r>
    <s v="TX500622"/>
    <x v="7"/>
    <x v="0"/>
    <n v="57.7"/>
    <x v="569"/>
    <x v="26"/>
    <d v="2025-01-27T00:00:00"/>
    <x v="1"/>
    <x v="0"/>
    <x v="4"/>
    <x v="0"/>
    <x v="8"/>
    <x v="7"/>
    <x v="4"/>
    <x v="1"/>
  </r>
  <r>
    <s v="TX500623"/>
    <x v="15"/>
    <x v="1"/>
    <n v="72.400000000000006"/>
    <x v="353"/>
    <x v="26"/>
    <d v="2025-02-01T00:00:00"/>
    <x v="2"/>
    <x v="0"/>
    <x v="0"/>
    <x v="0"/>
    <x v="17"/>
    <x v="0"/>
    <x v="4"/>
    <x v="2"/>
  </r>
  <r>
    <s v="TX500624"/>
    <x v="6"/>
    <x v="1"/>
    <n v="62.5"/>
    <x v="570"/>
    <x v="26"/>
    <d v="2025-01-28T00:00:00"/>
    <x v="0"/>
    <x v="0"/>
    <x v="2"/>
    <x v="0"/>
    <x v="11"/>
    <x v="3"/>
    <x v="4"/>
    <x v="0"/>
  </r>
  <r>
    <s v="TX500625"/>
    <x v="0"/>
    <x v="32"/>
    <n v="11.6"/>
    <x v="281"/>
    <x v="26"/>
    <d v="2025-01-29T00:00:00"/>
    <x v="2"/>
    <x v="3"/>
    <x v="2"/>
    <x v="0"/>
    <x v="18"/>
    <x v="1"/>
    <x v="4"/>
    <x v="2"/>
  </r>
  <r>
    <s v="TX500626"/>
    <x v="10"/>
    <x v="7"/>
    <n v="39.6"/>
    <x v="501"/>
    <x v="26"/>
    <d v="2025-01-29T00:00:00"/>
    <x v="2"/>
    <x v="2"/>
    <x v="2"/>
    <x v="0"/>
    <x v="18"/>
    <x v="1"/>
    <x v="4"/>
    <x v="2"/>
  </r>
  <r>
    <s v="TX500627"/>
    <x v="8"/>
    <x v="1"/>
    <n v="40.1"/>
    <x v="556"/>
    <x v="26"/>
    <d v="2025-01-28T00:00:00"/>
    <x v="2"/>
    <x v="2"/>
    <x v="0"/>
    <x v="0"/>
    <x v="18"/>
    <x v="3"/>
    <x v="4"/>
    <x v="2"/>
  </r>
  <r>
    <s v="TX500628"/>
    <x v="8"/>
    <x v="2"/>
    <n v="18.600000000000001"/>
    <x v="571"/>
    <x v="26"/>
    <d v="2025-01-28T00:00:00"/>
    <x v="2"/>
    <x v="2"/>
    <x v="0"/>
    <x v="0"/>
    <x v="21"/>
    <x v="3"/>
    <x v="4"/>
    <x v="2"/>
  </r>
  <r>
    <s v="TX500629"/>
    <x v="4"/>
    <x v="0"/>
    <n v="58.8"/>
    <x v="572"/>
    <x v="26"/>
    <d v="2025-01-29T00:00:00"/>
    <x v="2"/>
    <x v="0"/>
    <x v="1"/>
    <x v="0"/>
    <x v="21"/>
    <x v="1"/>
    <x v="4"/>
    <x v="2"/>
  </r>
  <r>
    <s v="TX500630"/>
    <x v="8"/>
    <x v="1"/>
    <n v="22.1"/>
    <x v="573"/>
    <x v="26"/>
    <d v="2025-01-30T00:00:00"/>
    <x v="1"/>
    <x v="1"/>
    <x v="2"/>
    <x v="0"/>
    <x v="21"/>
    <x v="2"/>
    <x v="4"/>
    <x v="1"/>
  </r>
  <r>
    <s v="TX500631"/>
    <x v="2"/>
    <x v="0"/>
    <n v="114.9"/>
    <x v="574"/>
    <x v="27"/>
    <d v="2025-01-29T00:00:00"/>
    <x v="2"/>
    <x v="1"/>
    <x v="1"/>
    <x v="0"/>
    <x v="22"/>
    <x v="3"/>
    <x v="4"/>
    <x v="2"/>
  </r>
  <r>
    <s v="TX500632"/>
    <x v="9"/>
    <x v="9"/>
    <n v="75.8"/>
    <x v="575"/>
    <x v="27"/>
    <d v="2025-01-29T00:00:00"/>
    <x v="1"/>
    <x v="0"/>
    <x v="2"/>
    <x v="0"/>
    <x v="3"/>
    <x v="3"/>
    <x v="4"/>
    <x v="1"/>
  </r>
  <r>
    <s v="TX500633"/>
    <x v="14"/>
    <x v="9"/>
    <n v="20.6"/>
    <x v="576"/>
    <x v="27"/>
    <d v="2025-01-29T00:00:00"/>
    <x v="1"/>
    <x v="2"/>
    <x v="2"/>
    <x v="0"/>
    <x v="3"/>
    <x v="3"/>
    <x v="4"/>
    <x v="1"/>
  </r>
  <r>
    <s v="TX500634"/>
    <x v="17"/>
    <x v="2"/>
    <n v="67.900000000000006"/>
    <x v="577"/>
    <x v="27"/>
    <d v="2025-01-29T00:00:00"/>
    <x v="2"/>
    <x v="1"/>
    <x v="1"/>
    <x v="0"/>
    <x v="3"/>
    <x v="3"/>
    <x v="4"/>
    <x v="2"/>
  </r>
  <r>
    <s v="TX500635"/>
    <x v="0"/>
    <x v="9"/>
    <n v="27"/>
    <x v="340"/>
    <x v="27"/>
    <d v="2025-02-04T00:00:00"/>
    <x v="2"/>
    <x v="0"/>
    <x v="2"/>
    <x v="0"/>
    <x v="3"/>
    <x v="6"/>
    <x v="4"/>
    <x v="2"/>
  </r>
  <r>
    <s v="TX500636"/>
    <x v="13"/>
    <x v="0"/>
    <n v="50.6"/>
    <x v="578"/>
    <x v="27"/>
    <d v="2025-01-28T00:00:00"/>
    <x v="1"/>
    <x v="0"/>
    <x v="1"/>
    <x v="0"/>
    <x v="3"/>
    <x v="7"/>
    <x v="4"/>
    <x v="1"/>
  </r>
  <r>
    <s v="TX500637"/>
    <x v="4"/>
    <x v="9"/>
    <n v="22.1"/>
    <x v="579"/>
    <x v="27"/>
    <d v="2025-02-02T00:00:00"/>
    <x v="1"/>
    <x v="0"/>
    <x v="0"/>
    <x v="0"/>
    <x v="3"/>
    <x v="0"/>
    <x v="4"/>
    <x v="1"/>
  </r>
  <r>
    <s v="TX500638"/>
    <x v="8"/>
    <x v="2"/>
    <n v="42.9"/>
    <x v="580"/>
    <x v="27"/>
    <d v="2025-01-30T00:00:00"/>
    <x v="2"/>
    <x v="0"/>
    <x v="0"/>
    <x v="0"/>
    <x v="3"/>
    <x v="1"/>
    <x v="4"/>
    <x v="2"/>
  </r>
  <r>
    <s v="TX500639"/>
    <x v="1"/>
    <x v="5"/>
    <n v="62.4"/>
    <x v="581"/>
    <x v="27"/>
    <d v="2025-01-30T00:00:00"/>
    <x v="2"/>
    <x v="2"/>
    <x v="0"/>
    <x v="0"/>
    <x v="3"/>
    <x v="1"/>
    <x v="4"/>
    <x v="2"/>
  </r>
  <r>
    <s v="TX500640"/>
    <x v="13"/>
    <x v="11"/>
    <n v="36.4"/>
    <x v="582"/>
    <x v="27"/>
    <d v="2025-01-30T00:00:00"/>
    <x v="2"/>
    <x v="0"/>
    <x v="2"/>
    <x v="0"/>
    <x v="3"/>
    <x v="1"/>
    <x v="4"/>
    <x v="2"/>
  </r>
  <r>
    <s v="TX500641"/>
    <x v="0"/>
    <x v="1"/>
    <n v="22.5"/>
    <x v="583"/>
    <x v="27"/>
    <d v="2025-01-31T00:00:00"/>
    <x v="1"/>
    <x v="0"/>
    <x v="0"/>
    <x v="0"/>
    <x v="3"/>
    <x v="2"/>
    <x v="4"/>
    <x v="1"/>
  </r>
  <r>
    <s v="TX500642"/>
    <x v="6"/>
    <x v="12"/>
    <n v="70.8"/>
    <x v="584"/>
    <x v="27"/>
    <d v="2025-01-30T00:00:00"/>
    <x v="2"/>
    <x v="4"/>
    <x v="0"/>
    <x v="0"/>
    <x v="3"/>
    <x v="1"/>
    <x v="4"/>
    <x v="2"/>
  </r>
  <r>
    <s v="TX500643"/>
    <x v="6"/>
    <x v="9"/>
    <n v="56.6"/>
    <x v="585"/>
    <x v="27"/>
    <d v="2025-01-30T00:00:00"/>
    <x v="1"/>
    <x v="0"/>
    <x v="1"/>
    <x v="0"/>
    <x v="4"/>
    <x v="1"/>
    <x v="4"/>
    <x v="1"/>
  </r>
  <r>
    <s v="TX500644"/>
    <x v="6"/>
    <x v="1"/>
    <n v="47.9"/>
    <x v="586"/>
    <x v="27"/>
    <d v="2025-01-29T00:00:00"/>
    <x v="2"/>
    <x v="0"/>
    <x v="0"/>
    <x v="0"/>
    <x v="6"/>
    <x v="3"/>
    <x v="4"/>
    <x v="2"/>
  </r>
  <r>
    <s v="TX500645"/>
    <x v="6"/>
    <x v="8"/>
    <n v="78.400000000000006"/>
    <x v="587"/>
    <x v="27"/>
    <d v="2025-01-30T00:00:00"/>
    <x v="2"/>
    <x v="1"/>
    <x v="0"/>
    <x v="0"/>
    <x v="6"/>
    <x v="1"/>
    <x v="4"/>
    <x v="2"/>
  </r>
  <r>
    <s v="TX500646"/>
    <x v="2"/>
    <x v="21"/>
    <n v="122.1"/>
    <x v="588"/>
    <x v="27"/>
    <d v="2025-02-02T00:00:00"/>
    <x v="2"/>
    <x v="0"/>
    <x v="2"/>
    <x v="0"/>
    <x v="6"/>
    <x v="0"/>
    <x v="4"/>
    <x v="2"/>
  </r>
  <r>
    <s v="TX500647"/>
    <x v="2"/>
    <x v="1"/>
    <n v="83.7"/>
    <x v="589"/>
    <x v="28"/>
    <d v="2025-01-29T00:00:00"/>
    <x v="0"/>
    <x v="1"/>
    <x v="2"/>
    <x v="0"/>
    <x v="7"/>
    <x v="7"/>
    <x v="4"/>
    <x v="0"/>
  </r>
  <r>
    <s v="TX500648"/>
    <x v="3"/>
    <x v="12"/>
    <n v="97.9"/>
    <x v="590"/>
    <x v="28"/>
    <d v="2025-02-02T00:00:00"/>
    <x v="2"/>
    <x v="3"/>
    <x v="2"/>
    <x v="0"/>
    <x v="7"/>
    <x v="5"/>
    <x v="4"/>
    <x v="2"/>
  </r>
  <r>
    <s v="TX500649"/>
    <x v="14"/>
    <x v="0"/>
    <n v="15"/>
    <x v="591"/>
    <x v="28"/>
    <d v="2025-02-03T00:00:00"/>
    <x v="2"/>
    <x v="3"/>
    <x v="0"/>
    <x v="0"/>
    <x v="8"/>
    <x v="0"/>
    <x v="4"/>
    <x v="2"/>
  </r>
  <r>
    <s v="TX500650"/>
    <x v="12"/>
    <x v="2"/>
    <n v="94.6"/>
    <x v="592"/>
    <x v="28"/>
    <d v="2025-01-30T00:00:00"/>
    <x v="1"/>
    <x v="2"/>
    <x v="1"/>
    <x v="0"/>
    <x v="8"/>
    <x v="3"/>
    <x v="4"/>
    <x v="1"/>
  </r>
  <r>
    <s v="TX500651"/>
    <x v="0"/>
    <x v="13"/>
    <n v="19.7"/>
    <x v="593"/>
    <x v="28"/>
    <d v="2025-02-09T00:00:00"/>
    <x v="2"/>
    <x v="0"/>
    <x v="2"/>
    <x v="0"/>
    <x v="8"/>
    <x v="11"/>
    <x v="4"/>
    <x v="2"/>
  </r>
  <r>
    <s v="TX500652"/>
    <x v="7"/>
    <x v="0"/>
    <n v="46.7"/>
    <x v="594"/>
    <x v="28"/>
    <d v="2025-02-01T00:00:00"/>
    <x v="2"/>
    <x v="2"/>
    <x v="0"/>
    <x v="0"/>
    <x v="17"/>
    <x v="2"/>
    <x v="4"/>
    <x v="2"/>
  </r>
  <r>
    <s v="TX500653"/>
    <x v="1"/>
    <x v="12"/>
    <n v="43"/>
    <x v="595"/>
    <x v="28"/>
    <d v="2025-01-30T00:00:00"/>
    <x v="1"/>
    <x v="2"/>
    <x v="2"/>
    <x v="0"/>
    <x v="17"/>
    <x v="3"/>
    <x v="4"/>
    <x v="1"/>
  </r>
  <r>
    <s v="TX500654"/>
    <x v="6"/>
    <x v="2"/>
    <n v="68.2"/>
    <x v="214"/>
    <x v="28"/>
    <d v="2025-02-04T00:00:00"/>
    <x v="2"/>
    <x v="0"/>
    <x v="0"/>
    <x v="0"/>
    <x v="9"/>
    <x v="4"/>
    <x v="4"/>
    <x v="2"/>
  </r>
  <r>
    <s v="TX500655"/>
    <x v="10"/>
    <x v="7"/>
    <n v="24.3"/>
    <x v="596"/>
    <x v="28"/>
    <d v="2025-01-30T00:00:00"/>
    <x v="1"/>
    <x v="0"/>
    <x v="2"/>
    <x v="0"/>
    <x v="10"/>
    <x v="3"/>
    <x v="4"/>
    <x v="1"/>
  </r>
  <r>
    <s v="TX500656"/>
    <x v="7"/>
    <x v="1"/>
    <n v="86.8"/>
    <x v="597"/>
    <x v="28"/>
    <d v="2025-02-02T00:00:00"/>
    <x v="2"/>
    <x v="4"/>
    <x v="2"/>
    <x v="0"/>
    <x v="11"/>
    <x v="5"/>
    <x v="4"/>
    <x v="2"/>
  </r>
  <r>
    <s v="TX500657"/>
    <x v="0"/>
    <x v="1"/>
    <n v="15.8"/>
    <x v="35"/>
    <x v="28"/>
    <d v="2025-01-31T00:00:00"/>
    <x v="1"/>
    <x v="1"/>
    <x v="0"/>
    <x v="0"/>
    <x v="11"/>
    <x v="1"/>
    <x v="4"/>
    <x v="1"/>
  </r>
  <r>
    <s v="TX500658"/>
    <x v="2"/>
    <x v="12"/>
    <n v="61.6"/>
    <x v="598"/>
    <x v="28"/>
    <d v="2025-01-30T00:00:00"/>
    <x v="1"/>
    <x v="2"/>
    <x v="0"/>
    <x v="0"/>
    <x v="11"/>
    <x v="3"/>
    <x v="4"/>
    <x v="1"/>
  </r>
  <r>
    <s v="TX500659"/>
    <x v="6"/>
    <x v="2"/>
    <n v="48.7"/>
    <x v="599"/>
    <x v="28"/>
    <d v="2025-02-04T00:00:00"/>
    <x v="2"/>
    <x v="1"/>
    <x v="2"/>
    <x v="0"/>
    <x v="45"/>
    <x v="4"/>
    <x v="4"/>
    <x v="2"/>
  </r>
  <r>
    <s v="TX500660"/>
    <x v="8"/>
    <x v="12"/>
    <n v="24.3"/>
    <x v="451"/>
    <x v="28"/>
    <d v="2025-01-31T00:00:00"/>
    <x v="2"/>
    <x v="1"/>
    <x v="2"/>
    <x v="0"/>
    <x v="21"/>
    <x v="1"/>
    <x v="4"/>
    <x v="2"/>
  </r>
  <r>
    <s v="TX500661"/>
    <x v="2"/>
    <x v="1"/>
    <n v="130.69999999999999"/>
    <x v="600"/>
    <x v="28"/>
    <d v="2025-01-30T00:00:00"/>
    <x v="2"/>
    <x v="2"/>
    <x v="0"/>
    <x v="0"/>
    <x v="44"/>
    <x v="3"/>
    <x v="4"/>
    <x v="2"/>
  </r>
  <r>
    <s v="TX500662"/>
    <x v="10"/>
    <x v="0"/>
    <n v="26"/>
    <x v="601"/>
    <x v="28"/>
    <d v="2025-01-31T00:00:00"/>
    <x v="1"/>
    <x v="0"/>
    <x v="0"/>
    <x v="0"/>
    <x v="3"/>
    <x v="1"/>
    <x v="4"/>
    <x v="1"/>
  </r>
  <r>
    <s v="TX500663"/>
    <x v="2"/>
    <x v="9"/>
    <n v="94.4"/>
    <x v="602"/>
    <x v="28"/>
    <d v="2025-01-30T00:00:00"/>
    <x v="2"/>
    <x v="0"/>
    <x v="0"/>
    <x v="0"/>
    <x v="3"/>
    <x v="3"/>
    <x v="4"/>
    <x v="2"/>
  </r>
  <r>
    <s v="TX500664"/>
    <x v="0"/>
    <x v="13"/>
    <n v="23.7"/>
    <x v="60"/>
    <x v="28"/>
    <d v="2025-01-31T00:00:00"/>
    <x v="1"/>
    <x v="2"/>
    <x v="2"/>
    <x v="0"/>
    <x v="3"/>
    <x v="1"/>
    <x v="4"/>
    <x v="1"/>
  </r>
  <r>
    <s v="TX500665"/>
    <x v="9"/>
    <x v="4"/>
    <n v="37.4"/>
    <x v="603"/>
    <x v="28"/>
    <d v="2025-01-31T00:00:00"/>
    <x v="1"/>
    <x v="2"/>
    <x v="0"/>
    <x v="0"/>
    <x v="3"/>
    <x v="1"/>
    <x v="4"/>
    <x v="1"/>
  </r>
  <r>
    <s v="TX500666"/>
    <x v="1"/>
    <x v="34"/>
    <n v="55.2"/>
    <x v="604"/>
    <x v="28"/>
    <d v="2025-01-29T00:00:00"/>
    <x v="2"/>
    <x v="3"/>
    <x v="1"/>
    <x v="0"/>
    <x v="3"/>
    <x v="7"/>
    <x v="4"/>
    <x v="2"/>
  </r>
  <r>
    <s v="TX500667"/>
    <x v="2"/>
    <x v="11"/>
    <n v="57.1"/>
    <x v="605"/>
    <x v="28"/>
    <d v="2025-01-31T00:00:00"/>
    <x v="1"/>
    <x v="0"/>
    <x v="2"/>
    <x v="0"/>
    <x v="3"/>
    <x v="1"/>
    <x v="4"/>
    <x v="1"/>
  </r>
  <r>
    <s v="TX500668"/>
    <x v="12"/>
    <x v="0"/>
    <n v="55.3"/>
    <x v="6"/>
    <x v="28"/>
    <d v="2025-01-30T00:00:00"/>
    <x v="2"/>
    <x v="2"/>
    <x v="2"/>
    <x v="0"/>
    <x v="3"/>
    <x v="3"/>
    <x v="4"/>
    <x v="2"/>
  </r>
  <r>
    <s v="TX500669"/>
    <x v="15"/>
    <x v="3"/>
    <n v="23.9"/>
    <x v="606"/>
    <x v="28"/>
    <d v="2025-01-30T00:00:00"/>
    <x v="2"/>
    <x v="4"/>
    <x v="1"/>
    <x v="0"/>
    <x v="3"/>
    <x v="3"/>
    <x v="4"/>
    <x v="2"/>
  </r>
  <r>
    <s v="TX500670"/>
    <x v="0"/>
    <x v="0"/>
    <n v="34.1"/>
    <x v="607"/>
    <x v="28"/>
    <d v="2025-02-05T00:00:00"/>
    <x v="2"/>
    <x v="2"/>
    <x v="0"/>
    <x v="0"/>
    <x v="3"/>
    <x v="6"/>
    <x v="4"/>
    <x v="2"/>
  </r>
  <r>
    <s v="TX500671"/>
    <x v="12"/>
    <x v="12"/>
    <n v="38.5"/>
    <x v="608"/>
    <x v="28"/>
    <d v="2025-02-09T00:00:00"/>
    <x v="2"/>
    <x v="0"/>
    <x v="0"/>
    <x v="0"/>
    <x v="3"/>
    <x v="11"/>
    <x v="4"/>
    <x v="2"/>
  </r>
  <r>
    <s v="TX500672"/>
    <x v="7"/>
    <x v="1"/>
    <n v="105"/>
    <x v="609"/>
    <x v="28"/>
    <d v="2025-02-04T00:00:00"/>
    <x v="2"/>
    <x v="0"/>
    <x v="2"/>
    <x v="0"/>
    <x v="3"/>
    <x v="4"/>
    <x v="4"/>
    <x v="2"/>
  </r>
  <r>
    <s v="TX500673"/>
    <x v="8"/>
    <x v="9"/>
    <n v="45.2"/>
    <x v="326"/>
    <x v="28"/>
    <d v="2025-01-31T00:00:00"/>
    <x v="2"/>
    <x v="0"/>
    <x v="2"/>
    <x v="0"/>
    <x v="3"/>
    <x v="1"/>
    <x v="4"/>
    <x v="2"/>
  </r>
  <r>
    <s v="TX500674"/>
    <x v="17"/>
    <x v="2"/>
    <n v="24.8"/>
    <x v="610"/>
    <x v="28"/>
    <d v="2025-01-29T00:00:00"/>
    <x v="0"/>
    <x v="0"/>
    <x v="1"/>
    <x v="0"/>
    <x v="3"/>
    <x v="7"/>
    <x v="4"/>
    <x v="0"/>
  </r>
  <r>
    <s v="TX500675"/>
    <x v="11"/>
    <x v="12"/>
    <n v="43.8"/>
    <x v="122"/>
    <x v="28"/>
    <d v="2025-02-05T00:00:00"/>
    <x v="2"/>
    <x v="1"/>
    <x v="2"/>
    <x v="0"/>
    <x v="6"/>
    <x v="6"/>
    <x v="4"/>
    <x v="2"/>
  </r>
  <r>
    <s v="TX500676"/>
    <x v="1"/>
    <x v="0"/>
    <n v="75"/>
    <x v="611"/>
    <x v="28"/>
    <d v="2025-01-31T00:00:00"/>
    <x v="2"/>
    <x v="4"/>
    <x v="1"/>
    <x v="0"/>
    <x v="6"/>
    <x v="1"/>
    <x v="4"/>
    <x v="2"/>
  </r>
  <r>
    <s v="TX500677"/>
    <x v="2"/>
    <x v="0"/>
    <n v="169.9"/>
    <x v="612"/>
    <x v="28"/>
    <d v="2025-01-30T00:00:00"/>
    <x v="1"/>
    <x v="2"/>
    <x v="0"/>
    <x v="0"/>
    <x v="6"/>
    <x v="3"/>
    <x v="4"/>
    <x v="1"/>
  </r>
  <r>
    <s v="TX500678"/>
    <x v="9"/>
    <x v="1"/>
    <n v="72.2"/>
    <x v="613"/>
    <x v="28"/>
    <d v="2025-01-31T00:00:00"/>
    <x v="2"/>
    <x v="4"/>
    <x v="1"/>
    <x v="0"/>
    <x v="6"/>
    <x v="1"/>
    <x v="4"/>
    <x v="2"/>
  </r>
  <r>
    <s v="TX500679"/>
    <x v="0"/>
    <x v="0"/>
    <n v="20"/>
    <x v="614"/>
    <x v="29"/>
    <d v="2025-02-02T00:00:00"/>
    <x v="2"/>
    <x v="2"/>
    <x v="1"/>
    <x v="0"/>
    <x v="7"/>
    <x v="2"/>
    <x v="4"/>
    <x v="2"/>
  </r>
  <r>
    <s v="TX500680"/>
    <x v="9"/>
    <x v="1"/>
    <n v="40.799999999999997"/>
    <x v="330"/>
    <x v="29"/>
    <d v="2025-02-01T00:00:00"/>
    <x v="2"/>
    <x v="3"/>
    <x v="2"/>
    <x v="0"/>
    <x v="8"/>
    <x v="1"/>
    <x v="4"/>
    <x v="2"/>
  </r>
  <r>
    <s v="TX500681"/>
    <x v="10"/>
    <x v="12"/>
    <n v="58"/>
    <x v="615"/>
    <x v="29"/>
    <d v="2025-02-03T00:00:00"/>
    <x v="2"/>
    <x v="0"/>
    <x v="0"/>
    <x v="0"/>
    <x v="8"/>
    <x v="5"/>
    <x v="4"/>
    <x v="2"/>
  </r>
  <r>
    <s v="TX500682"/>
    <x v="12"/>
    <x v="1"/>
    <n v="43.1"/>
    <x v="616"/>
    <x v="29"/>
    <d v="2025-01-31T00:00:00"/>
    <x v="2"/>
    <x v="1"/>
    <x v="2"/>
    <x v="0"/>
    <x v="8"/>
    <x v="3"/>
    <x v="4"/>
    <x v="2"/>
  </r>
  <r>
    <s v="TX500683"/>
    <x v="6"/>
    <x v="11"/>
    <n v="74.7"/>
    <x v="617"/>
    <x v="29"/>
    <d v="2025-02-01T00:00:00"/>
    <x v="1"/>
    <x v="0"/>
    <x v="2"/>
    <x v="0"/>
    <x v="8"/>
    <x v="1"/>
    <x v="4"/>
    <x v="1"/>
  </r>
  <r>
    <s v="TX500684"/>
    <x v="6"/>
    <x v="0"/>
    <n v="128.19999999999999"/>
    <x v="618"/>
    <x v="29"/>
    <d v="2025-01-30T00:00:00"/>
    <x v="1"/>
    <x v="1"/>
    <x v="0"/>
    <x v="0"/>
    <x v="8"/>
    <x v="7"/>
    <x v="4"/>
    <x v="1"/>
  </r>
  <r>
    <s v="TX500685"/>
    <x v="14"/>
    <x v="12"/>
    <n v="26.7"/>
    <x v="619"/>
    <x v="29"/>
    <d v="2025-01-31T00:00:00"/>
    <x v="1"/>
    <x v="1"/>
    <x v="0"/>
    <x v="0"/>
    <x v="8"/>
    <x v="3"/>
    <x v="4"/>
    <x v="1"/>
  </r>
  <r>
    <s v="TX500686"/>
    <x v="17"/>
    <x v="13"/>
    <n v="31.5"/>
    <x v="620"/>
    <x v="29"/>
    <d v="2025-01-31T00:00:00"/>
    <x v="2"/>
    <x v="2"/>
    <x v="0"/>
    <x v="0"/>
    <x v="17"/>
    <x v="3"/>
    <x v="4"/>
    <x v="2"/>
  </r>
  <r>
    <s v="TX500687"/>
    <x v="3"/>
    <x v="3"/>
    <n v="64.7"/>
    <x v="621"/>
    <x v="29"/>
    <d v="2025-01-31T00:00:00"/>
    <x v="2"/>
    <x v="0"/>
    <x v="2"/>
    <x v="0"/>
    <x v="9"/>
    <x v="3"/>
    <x v="4"/>
    <x v="2"/>
  </r>
  <r>
    <s v="TX500688"/>
    <x v="5"/>
    <x v="1"/>
    <n v="55.6"/>
    <x v="622"/>
    <x v="29"/>
    <d v="2025-02-02T00:00:00"/>
    <x v="2"/>
    <x v="3"/>
    <x v="0"/>
    <x v="0"/>
    <x v="11"/>
    <x v="2"/>
    <x v="4"/>
    <x v="2"/>
  </r>
  <r>
    <s v="TX500689"/>
    <x v="3"/>
    <x v="1"/>
    <n v="36.200000000000003"/>
    <x v="623"/>
    <x v="29"/>
    <d v="2025-01-31T00:00:00"/>
    <x v="2"/>
    <x v="3"/>
    <x v="0"/>
    <x v="0"/>
    <x v="11"/>
    <x v="3"/>
    <x v="4"/>
    <x v="2"/>
  </r>
  <r>
    <s v="TX500690"/>
    <x v="0"/>
    <x v="0"/>
    <n v="26.6"/>
    <x v="534"/>
    <x v="29"/>
    <d v="2025-01-31T00:00:00"/>
    <x v="0"/>
    <x v="1"/>
    <x v="1"/>
    <x v="0"/>
    <x v="19"/>
    <x v="3"/>
    <x v="4"/>
    <x v="0"/>
  </r>
  <r>
    <s v="TX500691"/>
    <x v="10"/>
    <x v="12"/>
    <n v="31.5"/>
    <x v="624"/>
    <x v="29"/>
    <d v="2025-02-01T00:00:00"/>
    <x v="1"/>
    <x v="0"/>
    <x v="0"/>
    <x v="0"/>
    <x v="31"/>
    <x v="1"/>
    <x v="4"/>
    <x v="1"/>
  </r>
  <r>
    <s v="TX500692"/>
    <x v="10"/>
    <x v="0"/>
    <n v="27"/>
    <x v="49"/>
    <x v="29"/>
    <d v="2025-02-01T00:00:00"/>
    <x v="2"/>
    <x v="1"/>
    <x v="2"/>
    <x v="0"/>
    <x v="13"/>
    <x v="1"/>
    <x v="4"/>
    <x v="2"/>
  </r>
  <r>
    <s v="TX500693"/>
    <x v="4"/>
    <x v="0"/>
    <n v="32"/>
    <x v="109"/>
    <x v="29"/>
    <d v="2025-02-02T00:00:00"/>
    <x v="1"/>
    <x v="3"/>
    <x v="0"/>
    <x v="0"/>
    <x v="21"/>
    <x v="2"/>
    <x v="4"/>
    <x v="1"/>
  </r>
  <r>
    <s v="TX500694"/>
    <x v="1"/>
    <x v="2"/>
    <n v="48.1"/>
    <x v="625"/>
    <x v="29"/>
    <d v="2025-02-01T00:00:00"/>
    <x v="1"/>
    <x v="2"/>
    <x v="1"/>
    <x v="0"/>
    <x v="1"/>
    <x v="1"/>
    <x v="4"/>
    <x v="1"/>
  </r>
  <r>
    <s v="TX500695"/>
    <x v="9"/>
    <x v="1"/>
    <n v="43.4"/>
    <x v="626"/>
    <x v="29"/>
    <d v="2025-01-31T00:00:00"/>
    <x v="1"/>
    <x v="1"/>
    <x v="1"/>
    <x v="0"/>
    <x v="22"/>
    <x v="3"/>
    <x v="4"/>
    <x v="1"/>
  </r>
  <r>
    <s v="TX500696"/>
    <x v="6"/>
    <x v="1"/>
    <n v="42.6"/>
    <x v="464"/>
    <x v="29"/>
    <d v="2025-02-02T00:00:00"/>
    <x v="2"/>
    <x v="3"/>
    <x v="0"/>
    <x v="0"/>
    <x v="22"/>
    <x v="2"/>
    <x v="4"/>
    <x v="2"/>
  </r>
  <r>
    <s v="TX500697"/>
    <x v="8"/>
    <x v="1"/>
    <n v="15.9"/>
    <x v="627"/>
    <x v="29"/>
    <d v="2025-01-31T00:00:00"/>
    <x v="2"/>
    <x v="0"/>
    <x v="0"/>
    <x v="0"/>
    <x v="34"/>
    <x v="3"/>
    <x v="4"/>
    <x v="2"/>
  </r>
  <r>
    <s v="TX500698"/>
    <x v="9"/>
    <x v="1"/>
    <n v="63.2"/>
    <x v="628"/>
    <x v="29"/>
    <d v="2025-01-31T00:00:00"/>
    <x v="1"/>
    <x v="1"/>
    <x v="0"/>
    <x v="0"/>
    <x v="3"/>
    <x v="3"/>
    <x v="4"/>
    <x v="1"/>
  </r>
  <r>
    <s v="TX500699"/>
    <x v="7"/>
    <x v="12"/>
    <n v="64.8"/>
    <x v="629"/>
    <x v="29"/>
    <d v="2025-02-01T00:00:00"/>
    <x v="0"/>
    <x v="4"/>
    <x v="1"/>
    <x v="0"/>
    <x v="3"/>
    <x v="1"/>
    <x v="4"/>
    <x v="0"/>
  </r>
  <r>
    <s v="TX500700"/>
    <x v="7"/>
    <x v="2"/>
    <n v="79.8"/>
    <x v="342"/>
    <x v="29"/>
    <d v="2025-01-31T00:00:00"/>
    <x v="1"/>
    <x v="0"/>
    <x v="0"/>
    <x v="0"/>
    <x v="3"/>
    <x v="3"/>
    <x v="4"/>
    <x v="1"/>
  </r>
  <r>
    <s v="TX500701"/>
    <x v="9"/>
    <x v="0"/>
    <n v="54.4"/>
    <x v="630"/>
    <x v="29"/>
    <d v="2025-02-01T00:00:00"/>
    <x v="2"/>
    <x v="4"/>
    <x v="2"/>
    <x v="0"/>
    <x v="3"/>
    <x v="1"/>
    <x v="4"/>
    <x v="2"/>
  </r>
  <r>
    <s v="TX500702"/>
    <x v="6"/>
    <x v="0"/>
    <n v="87.3"/>
    <x v="631"/>
    <x v="29"/>
    <d v="2025-01-31T00:00:00"/>
    <x v="1"/>
    <x v="1"/>
    <x v="0"/>
    <x v="0"/>
    <x v="3"/>
    <x v="3"/>
    <x v="4"/>
    <x v="1"/>
  </r>
  <r>
    <s v="TX500703"/>
    <x v="8"/>
    <x v="12"/>
    <n v="32.4"/>
    <x v="632"/>
    <x v="29"/>
    <d v="2025-01-30T00:00:00"/>
    <x v="1"/>
    <x v="1"/>
    <x v="0"/>
    <x v="0"/>
    <x v="3"/>
    <x v="7"/>
    <x v="4"/>
    <x v="1"/>
  </r>
  <r>
    <s v="TX500704"/>
    <x v="2"/>
    <x v="0"/>
    <n v="177.4"/>
    <x v="633"/>
    <x v="29"/>
    <d v="2025-02-03T00:00:00"/>
    <x v="1"/>
    <x v="0"/>
    <x v="2"/>
    <x v="0"/>
    <x v="3"/>
    <x v="5"/>
    <x v="4"/>
    <x v="1"/>
  </r>
  <r>
    <s v="TX500705"/>
    <x v="7"/>
    <x v="1"/>
    <n v="70.099999999999994"/>
    <x v="634"/>
    <x v="29"/>
    <d v="2025-01-31T00:00:00"/>
    <x v="1"/>
    <x v="3"/>
    <x v="1"/>
    <x v="0"/>
    <x v="3"/>
    <x v="3"/>
    <x v="4"/>
    <x v="1"/>
  </r>
  <r>
    <s v="TX500706"/>
    <x v="9"/>
    <x v="13"/>
    <n v="51.1"/>
    <x v="567"/>
    <x v="29"/>
    <d v="2025-01-31T00:00:00"/>
    <x v="2"/>
    <x v="0"/>
    <x v="0"/>
    <x v="0"/>
    <x v="3"/>
    <x v="3"/>
    <x v="4"/>
    <x v="2"/>
  </r>
  <r>
    <s v="TX500707"/>
    <x v="2"/>
    <x v="9"/>
    <n v="79.900000000000006"/>
    <x v="635"/>
    <x v="29"/>
    <d v="2025-02-01T00:00:00"/>
    <x v="1"/>
    <x v="3"/>
    <x v="2"/>
    <x v="0"/>
    <x v="24"/>
    <x v="1"/>
    <x v="4"/>
    <x v="1"/>
  </r>
  <r>
    <s v="TX500708"/>
    <x v="6"/>
    <x v="0"/>
    <n v="57.6"/>
    <x v="636"/>
    <x v="30"/>
    <d v="2025-02-05T00:00:00"/>
    <x v="1"/>
    <x v="0"/>
    <x v="2"/>
    <x v="0"/>
    <x v="49"/>
    <x v="0"/>
    <x v="4"/>
    <x v="1"/>
  </r>
  <r>
    <s v="TX500709"/>
    <x v="8"/>
    <x v="7"/>
    <n v="59.7"/>
    <x v="637"/>
    <x v="30"/>
    <d v="2025-02-04T00:00:00"/>
    <x v="1"/>
    <x v="2"/>
    <x v="0"/>
    <x v="0"/>
    <x v="25"/>
    <x v="5"/>
    <x v="4"/>
    <x v="1"/>
  </r>
  <r>
    <s v="TX500710"/>
    <x v="8"/>
    <x v="9"/>
    <n v="30"/>
    <x v="638"/>
    <x v="30"/>
    <d v="2025-02-02T00:00:00"/>
    <x v="1"/>
    <x v="1"/>
    <x v="0"/>
    <x v="0"/>
    <x v="6"/>
    <x v="1"/>
    <x v="4"/>
    <x v="1"/>
  </r>
  <r>
    <s v="TX500711"/>
    <x v="10"/>
    <x v="1"/>
    <n v="69.2"/>
    <x v="639"/>
    <x v="30"/>
    <d v="2025-02-02T00:00:00"/>
    <x v="0"/>
    <x v="2"/>
    <x v="1"/>
    <x v="0"/>
    <x v="6"/>
    <x v="1"/>
    <x v="4"/>
    <x v="0"/>
  </r>
  <r>
    <s v="TX500712"/>
    <x v="0"/>
    <x v="8"/>
    <n v="10.9"/>
    <x v="640"/>
    <x v="30"/>
    <d v="2025-02-01T00:00:00"/>
    <x v="2"/>
    <x v="0"/>
    <x v="2"/>
    <x v="0"/>
    <x v="6"/>
    <x v="3"/>
    <x v="4"/>
    <x v="2"/>
  </r>
  <r>
    <s v="TX500713"/>
    <x v="16"/>
    <x v="1"/>
    <n v="48.6"/>
    <x v="451"/>
    <x v="30"/>
    <d v="2025-02-04T00:00:00"/>
    <x v="1"/>
    <x v="1"/>
    <x v="2"/>
    <x v="0"/>
    <x v="6"/>
    <x v="5"/>
    <x v="4"/>
    <x v="1"/>
  </r>
  <r>
    <s v="TX500714"/>
    <x v="2"/>
    <x v="1"/>
    <n v="61.1"/>
    <x v="641"/>
    <x v="30"/>
    <d v="2025-02-03T00:00:00"/>
    <x v="2"/>
    <x v="1"/>
    <x v="2"/>
    <x v="0"/>
    <x v="7"/>
    <x v="2"/>
    <x v="4"/>
    <x v="2"/>
  </r>
  <r>
    <s v="TX500715"/>
    <x v="8"/>
    <x v="1"/>
    <n v="23.2"/>
    <x v="434"/>
    <x v="30"/>
    <d v="2025-02-01T00:00:00"/>
    <x v="1"/>
    <x v="3"/>
    <x v="2"/>
    <x v="0"/>
    <x v="8"/>
    <x v="3"/>
    <x v="4"/>
    <x v="1"/>
  </r>
  <r>
    <s v="TX500716"/>
    <x v="12"/>
    <x v="12"/>
    <n v="55.8"/>
    <x v="642"/>
    <x v="30"/>
    <d v="2025-02-01T00:00:00"/>
    <x v="1"/>
    <x v="0"/>
    <x v="0"/>
    <x v="0"/>
    <x v="8"/>
    <x v="3"/>
    <x v="4"/>
    <x v="1"/>
  </r>
  <r>
    <s v="TX500717"/>
    <x v="9"/>
    <x v="12"/>
    <n v="24.8"/>
    <x v="643"/>
    <x v="30"/>
    <d v="2025-02-01T00:00:00"/>
    <x v="2"/>
    <x v="0"/>
    <x v="2"/>
    <x v="0"/>
    <x v="8"/>
    <x v="3"/>
    <x v="4"/>
    <x v="2"/>
  </r>
  <r>
    <s v="TX500718"/>
    <x v="10"/>
    <x v="1"/>
    <n v="27.9"/>
    <x v="391"/>
    <x v="30"/>
    <d v="2025-01-31T00:00:00"/>
    <x v="1"/>
    <x v="2"/>
    <x v="2"/>
    <x v="0"/>
    <x v="8"/>
    <x v="7"/>
    <x v="4"/>
    <x v="1"/>
  </r>
  <r>
    <s v="TX500719"/>
    <x v="10"/>
    <x v="13"/>
    <n v="51.1"/>
    <x v="567"/>
    <x v="30"/>
    <d v="2025-01-31T00:00:00"/>
    <x v="2"/>
    <x v="3"/>
    <x v="0"/>
    <x v="0"/>
    <x v="8"/>
    <x v="7"/>
    <x v="4"/>
    <x v="2"/>
  </r>
  <r>
    <s v="TX500720"/>
    <x v="17"/>
    <x v="5"/>
    <n v="32.700000000000003"/>
    <x v="644"/>
    <x v="30"/>
    <d v="2025-02-01T00:00:00"/>
    <x v="1"/>
    <x v="4"/>
    <x v="2"/>
    <x v="0"/>
    <x v="17"/>
    <x v="3"/>
    <x v="4"/>
    <x v="1"/>
  </r>
  <r>
    <s v="TX500721"/>
    <x v="8"/>
    <x v="12"/>
    <n v="22.5"/>
    <x v="645"/>
    <x v="30"/>
    <d v="2025-01-31T00:00:00"/>
    <x v="1"/>
    <x v="0"/>
    <x v="2"/>
    <x v="0"/>
    <x v="26"/>
    <x v="7"/>
    <x v="4"/>
    <x v="1"/>
  </r>
  <r>
    <s v="TX500722"/>
    <x v="0"/>
    <x v="3"/>
    <n v="14.6"/>
    <x v="646"/>
    <x v="30"/>
    <d v="2025-02-01T00:00:00"/>
    <x v="2"/>
    <x v="2"/>
    <x v="0"/>
    <x v="0"/>
    <x v="41"/>
    <x v="3"/>
    <x v="4"/>
    <x v="2"/>
  </r>
  <r>
    <s v="TX500723"/>
    <x v="5"/>
    <x v="2"/>
    <n v="32.5"/>
    <x v="647"/>
    <x v="30"/>
    <d v="2025-02-03T00:00:00"/>
    <x v="1"/>
    <x v="0"/>
    <x v="0"/>
    <x v="0"/>
    <x v="10"/>
    <x v="2"/>
    <x v="4"/>
    <x v="1"/>
  </r>
  <r>
    <s v="TX500724"/>
    <x v="18"/>
    <x v="0"/>
    <n v="78.099999999999994"/>
    <x v="648"/>
    <x v="30"/>
    <d v="2025-02-03T00:00:00"/>
    <x v="1"/>
    <x v="0"/>
    <x v="2"/>
    <x v="0"/>
    <x v="11"/>
    <x v="2"/>
    <x v="4"/>
    <x v="1"/>
  </r>
  <r>
    <s v="TX500725"/>
    <x v="12"/>
    <x v="13"/>
    <n v="110.2"/>
    <x v="649"/>
    <x v="30"/>
    <d v="2025-01-31T00:00:00"/>
    <x v="1"/>
    <x v="1"/>
    <x v="4"/>
    <x v="0"/>
    <x v="13"/>
    <x v="7"/>
    <x v="4"/>
    <x v="1"/>
  </r>
  <r>
    <s v="TX500726"/>
    <x v="6"/>
    <x v="2"/>
    <n v="86.3"/>
    <x v="650"/>
    <x v="30"/>
    <d v="2025-02-02T00:00:00"/>
    <x v="2"/>
    <x v="3"/>
    <x v="0"/>
    <x v="0"/>
    <x v="21"/>
    <x v="1"/>
    <x v="4"/>
    <x v="2"/>
  </r>
  <r>
    <s v="TX500727"/>
    <x v="1"/>
    <x v="13"/>
    <n v="73.599999999999994"/>
    <x v="651"/>
    <x v="30"/>
    <d v="2025-02-02T00:00:00"/>
    <x v="3"/>
    <x v="3"/>
    <x v="4"/>
    <x v="0"/>
    <x v="44"/>
    <x v="1"/>
    <x v="4"/>
    <x v="3"/>
  </r>
  <r>
    <s v="TX500728"/>
    <x v="6"/>
    <x v="15"/>
    <n v="67.7"/>
    <x v="652"/>
    <x v="30"/>
    <d v="2025-02-02T00:00:00"/>
    <x v="2"/>
    <x v="0"/>
    <x v="2"/>
    <x v="0"/>
    <x v="3"/>
    <x v="1"/>
    <x v="4"/>
    <x v="2"/>
  </r>
  <r>
    <s v="TX500729"/>
    <x v="7"/>
    <x v="13"/>
    <n v="142.19999999999999"/>
    <x v="653"/>
    <x v="30"/>
    <d v="2025-02-01T00:00:00"/>
    <x v="2"/>
    <x v="2"/>
    <x v="4"/>
    <x v="0"/>
    <x v="3"/>
    <x v="3"/>
    <x v="4"/>
    <x v="2"/>
  </r>
  <r>
    <s v="TX500730"/>
    <x v="1"/>
    <x v="11"/>
    <n v="45.8"/>
    <x v="654"/>
    <x v="30"/>
    <d v="2025-02-02T00:00:00"/>
    <x v="2"/>
    <x v="1"/>
    <x v="2"/>
    <x v="0"/>
    <x v="3"/>
    <x v="1"/>
    <x v="4"/>
    <x v="2"/>
  </r>
  <r>
    <s v="TX500731"/>
    <x v="10"/>
    <x v="1"/>
    <n v="24.2"/>
    <x v="655"/>
    <x v="31"/>
    <d v="2025-02-04T00:00:00"/>
    <x v="2"/>
    <x v="3"/>
    <x v="2"/>
    <x v="0"/>
    <x v="3"/>
    <x v="2"/>
    <x v="4"/>
    <x v="2"/>
  </r>
  <r>
    <s v="TX500732"/>
    <x v="2"/>
    <x v="2"/>
    <n v="144.9"/>
    <x v="656"/>
    <x v="31"/>
    <d v="2025-02-02T00:00:00"/>
    <x v="3"/>
    <x v="2"/>
    <x v="2"/>
    <x v="0"/>
    <x v="3"/>
    <x v="3"/>
    <x v="4"/>
    <x v="3"/>
  </r>
  <r>
    <s v="TX500733"/>
    <x v="11"/>
    <x v="9"/>
    <n v="32.799999999999997"/>
    <x v="657"/>
    <x v="31"/>
    <d v="2025-02-04T00:00:00"/>
    <x v="2"/>
    <x v="2"/>
    <x v="0"/>
    <x v="0"/>
    <x v="23"/>
    <x v="2"/>
    <x v="4"/>
    <x v="2"/>
  </r>
  <r>
    <s v="TX500734"/>
    <x v="7"/>
    <x v="7"/>
    <n v="35.700000000000003"/>
    <x v="658"/>
    <x v="31"/>
    <d v="2025-02-01T00:00:00"/>
    <x v="2"/>
    <x v="0"/>
    <x v="1"/>
    <x v="0"/>
    <x v="6"/>
    <x v="7"/>
    <x v="4"/>
    <x v="2"/>
  </r>
  <r>
    <s v="TX500735"/>
    <x v="9"/>
    <x v="1"/>
    <n v="54.6"/>
    <x v="659"/>
    <x v="31"/>
    <d v="2025-02-02T00:00:00"/>
    <x v="2"/>
    <x v="2"/>
    <x v="0"/>
    <x v="0"/>
    <x v="6"/>
    <x v="3"/>
    <x v="4"/>
    <x v="2"/>
  </r>
  <r>
    <s v="TX500736"/>
    <x v="8"/>
    <x v="1"/>
    <n v="35.700000000000003"/>
    <x v="660"/>
    <x v="31"/>
    <d v="2025-02-04T00:00:00"/>
    <x v="0"/>
    <x v="0"/>
    <x v="1"/>
    <x v="0"/>
    <x v="6"/>
    <x v="2"/>
    <x v="4"/>
    <x v="0"/>
  </r>
  <r>
    <s v="TX500737"/>
    <x v="10"/>
    <x v="1"/>
    <n v="52.4"/>
    <x v="661"/>
    <x v="31"/>
    <d v="2025-02-01T00:00:00"/>
    <x v="2"/>
    <x v="0"/>
    <x v="3"/>
    <x v="0"/>
    <x v="6"/>
    <x v="7"/>
    <x v="4"/>
    <x v="2"/>
  </r>
  <r>
    <s v="TX500738"/>
    <x v="8"/>
    <x v="21"/>
    <n v="16.2"/>
    <x v="662"/>
    <x v="31"/>
    <d v="2025-02-02T00:00:00"/>
    <x v="0"/>
    <x v="0"/>
    <x v="1"/>
    <x v="0"/>
    <x v="8"/>
    <x v="3"/>
    <x v="4"/>
    <x v="0"/>
  </r>
  <r>
    <s v="TX500739"/>
    <x v="6"/>
    <x v="35"/>
    <n v="42.8"/>
    <x v="663"/>
    <x v="31"/>
    <d v="2025-02-02T00:00:00"/>
    <x v="2"/>
    <x v="0"/>
    <x v="0"/>
    <x v="0"/>
    <x v="8"/>
    <x v="3"/>
    <x v="4"/>
    <x v="2"/>
  </r>
  <r>
    <s v="TX500740"/>
    <x v="6"/>
    <x v="11"/>
    <n v="144.4"/>
    <x v="664"/>
    <x v="31"/>
    <d v="2025-02-04T00:00:00"/>
    <x v="2"/>
    <x v="4"/>
    <x v="0"/>
    <x v="0"/>
    <x v="8"/>
    <x v="2"/>
    <x v="4"/>
    <x v="2"/>
  </r>
  <r>
    <s v="TX500741"/>
    <x v="3"/>
    <x v="34"/>
    <n v="30.6"/>
    <x v="665"/>
    <x v="31"/>
    <d v="2025-02-05T00:00:00"/>
    <x v="2"/>
    <x v="2"/>
    <x v="2"/>
    <x v="0"/>
    <x v="11"/>
    <x v="5"/>
    <x v="4"/>
    <x v="2"/>
  </r>
  <r>
    <s v="TX500742"/>
    <x v="2"/>
    <x v="1"/>
    <n v="117.5"/>
    <x v="666"/>
    <x v="31"/>
    <d v="2025-02-02T00:00:00"/>
    <x v="1"/>
    <x v="0"/>
    <x v="0"/>
    <x v="0"/>
    <x v="19"/>
    <x v="3"/>
    <x v="4"/>
    <x v="1"/>
  </r>
  <r>
    <s v="TX500743"/>
    <x v="6"/>
    <x v="1"/>
    <n v="105.7"/>
    <x v="667"/>
    <x v="31"/>
    <d v="2025-02-02T00:00:00"/>
    <x v="2"/>
    <x v="2"/>
    <x v="2"/>
    <x v="0"/>
    <x v="21"/>
    <x v="3"/>
    <x v="4"/>
    <x v="2"/>
  </r>
  <r>
    <s v="TX500744"/>
    <x v="3"/>
    <x v="2"/>
    <n v="133.69999999999999"/>
    <x v="668"/>
    <x v="31"/>
    <d v="2025-02-02T00:00:00"/>
    <x v="0"/>
    <x v="4"/>
    <x v="2"/>
    <x v="0"/>
    <x v="21"/>
    <x v="3"/>
    <x v="4"/>
    <x v="0"/>
  </r>
  <r>
    <s v="TX500745"/>
    <x v="4"/>
    <x v="9"/>
    <n v="46.8"/>
    <x v="540"/>
    <x v="32"/>
    <d v="2025-02-10T00:00:00"/>
    <x v="2"/>
    <x v="0"/>
    <x v="1"/>
    <x v="0"/>
    <x v="21"/>
    <x v="9"/>
    <x v="5"/>
    <x v="2"/>
  </r>
  <r>
    <s v="TX500746"/>
    <x v="10"/>
    <x v="2"/>
    <n v="58.4"/>
    <x v="122"/>
    <x v="32"/>
    <d v="2025-02-04T00:00:00"/>
    <x v="2"/>
    <x v="0"/>
    <x v="0"/>
    <x v="0"/>
    <x v="1"/>
    <x v="1"/>
    <x v="5"/>
    <x v="2"/>
  </r>
  <r>
    <s v="TX500747"/>
    <x v="6"/>
    <x v="11"/>
    <n v="65.099999999999994"/>
    <x v="669"/>
    <x v="32"/>
    <d v="2025-02-06T00:00:00"/>
    <x v="1"/>
    <x v="1"/>
    <x v="2"/>
    <x v="0"/>
    <x v="22"/>
    <x v="5"/>
    <x v="5"/>
    <x v="1"/>
  </r>
  <r>
    <s v="TX500748"/>
    <x v="8"/>
    <x v="0"/>
    <n v="18.600000000000001"/>
    <x v="670"/>
    <x v="32"/>
    <d v="2025-02-05T00:00:00"/>
    <x v="2"/>
    <x v="0"/>
    <x v="4"/>
    <x v="0"/>
    <x v="22"/>
    <x v="2"/>
    <x v="5"/>
    <x v="2"/>
  </r>
  <r>
    <s v="TX500749"/>
    <x v="1"/>
    <x v="5"/>
    <n v="92.3"/>
    <x v="671"/>
    <x v="32"/>
    <d v="2025-02-04T00:00:00"/>
    <x v="1"/>
    <x v="1"/>
    <x v="0"/>
    <x v="0"/>
    <x v="3"/>
    <x v="1"/>
    <x v="5"/>
    <x v="1"/>
  </r>
  <r>
    <s v="TX500750"/>
    <x v="6"/>
    <x v="2"/>
    <n v="81.7"/>
    <x v="672"/>
    <x v="32"/>
    <d v="2025-02-03T00:00:00"/>
    <x v="0"/>
    <x v="4"/>
    <x v="4"/>
    <x v="0"/>
    <x v="3"/>
    <x v="3"/>
    <x v="5"/>
    <x v="0"/>
  </r>
  <r>
    <s v="TX500751"/>
    <x v="8"/>
    <x v="1"/>
    <n v="40.9"/>
    <x v="673"/>
    <x v="32"/>
    <d v="2025-02-04T00:00:00"/>
    <x v="1"/>
    <x v="0"/>
    <x v="1"/>
    <x v="0"/>
    <x v="3"/>
    <x v="1"/>
    <x v="5"/>
    <x v="1"/>
  </r>
  <r>
    <s v="TX500752"/>
    <x v="6"/>
    <x v="12"/>
    <n v="43.2"/>
    <x v="162"/>
    <x v="32"/>
    <d v="2025-02-08T00:00:00"/>
    <x v="2"/>
    <x v="0"/>
    <x v="1"/>
    <x v="0"/>
    <x v="3"/>
    <x v="4"/>
    <x v="5"/>
    <x v="2"/>
  </r>
  <r>
    <s v="TX500753"/>
    <x v="8"/>
    <x v="5"/>
    <n v="25.8"/>
    <x v="674"/>
    <x v="32"/>
    <d v="2025-02-05T00:00:00"/>
    <x v="1"/>
    <x v="2"/>
    <x v="1"/>
    <x v="0"/>
    <x v="3"/>
    <x v="2"/>
    <x v="5"/>
    <x v="1"/>
  </r>
  <r>
    <s v="TX500754"/>
    <x v="15"/>
    <x v="12"/>
    <n v="36.4"/>
    <x v="675"/>
    <x v="32"/>
    <d v="2025-02-03T00:00:00"/>
    <x v="1"/>
    <x v="0"/>
    <x v="0"/>
    <x v="0"/>
    <x v="3"/>
    <x v="3"/>
    <x v="5"/>
    <x v="1"/>
  </r>
  <r>
    <s v="TX500755"/>
    <x v="10"/>
    <x v="0"/>
    <n v="59.1"/>
    <x v="676"/>
    <x v="32"/>
    <d v="2025-02-03T00:00:00"/>
    <x v="2"/>
    <x v="2"/>
    <x v="0"/>
    <x v="0"/>
    <x v="7"/>
    <x v="3"/>
    <x v="5"/>
    <x v="2"/>
  </r>
  <r>
    <s v="TX500756"/>
    <x v="2"/>
    <x v="14"/>
    <n v="74.5"/>
    <x v="677"/>
    <x v="32"/>
    <d v="2025-02-04T00:00:00"/>
    <x v="1"/>
    <x v="4"/>
    <x v="0"/>
    <x v="0"/>
    <x v="18"/>
    <x v="1"/>
    <x v="5"/>
    <x v="1"/>
  </r>
  <r>
    <s v="TX500757"/>
    <x v="5"/>
    <x v="0"/>
    <n v="72.8"/>
    <x v="236"/>
    <x v="32"/>
    <d v="2025-02-03T00:00:00"/>
    <x v="2"/>
    <x v="0"/>
    <x v="1"/>
    <x v="0"/>
    <x v="19"/>
    <x v="3"/>
    <x v="5"/>
    <x v="2"/>
  </r>
  <r>
    <s v="TX500758"/>
    <x v="6"/>
    <x v="12"/>
    <n v="137.30000000000001"/>
    <x v="678"/>
    <x v="32"/>
    <d v="2025-02-05T00:00:00"/>
    <x v="2"/>
    <x v="0"/>
    <x v="0"/>
    <x v="0"/>
    <x v="13"/>
    <x v="2"/>
    <x v="5"/>
    <x v="2"/>
  </r>
  <r>
    <s v="TX500759"/>
    <x v="1"/>
    <x v="2"/>
    <n v="48.7"/>
    <x v="599"/>
    <x v="32"/>
    <d v="2025-02-07T00:00:00"/>
    <x v="2"/>
    <x v="0"/>
    <x v="1"/>
    <x v="0"/>
    <x v="21"/>
    <x v="0"/>
    <x v="5"/>
    <x v="2"/>
  </r>
  <r>
    <s v="TX500760"/>
    <x v="6"/>
    <x v="12"/>
    <n v="53.7"/>
    <x v="679"/>
    <x v="32"/>
    <d v="2025-02-06T00:00:00"/>
    <x v="1"/>
    <x v="1"/>
    <x v="4"/>
    <x v="0"/>
    <x v="2"/>
    <x v="5"/>
    <x v="5"/>
    <x v="1"/>
  </r>
  <r>
    <s v="TX500761"/>
    <x v="2"/>
    <x v="3"/>
    <n v="100.9"/>
    <x v="680"/>
    <x v="32"/>
    <d v="2025-02-04T00:00:00"/>
    <x v="2"/>
    <x v="0"/>
    <x v="1"/>
    <x v="0"/>
    <x v="2"/>
    <x v="1"/>
    <x v="5"/>
    <x v="2"/>
  </r>
  <r>
    <s v="TX500762"/>
    <x v="10"/>
    <x v="1"/>
    <n v="41.8"/>
    <x v="681"/>
    <x v="32"/>
    <d v="2025-02-06T00:00:00"/>
    <x v="1"/>
    <x v="3"/>
    <x v="2"/>
    <x v="0"/>
    <x v="22"/>
    <x v="5"/>
    <x v="5"/>
    <x v="1"/>
  </r>
  <r>
    <s v="TX500763"/>
    <x v="4"/>
    <x v="8"/>
    <n v="28.5"/>
    <x v="416"/>
    <x v="32"/>
    <d v="2025-02-04T00:00:00"/>
    <x v="1"/>
    <x v="2"/>
    <x v="1"/>
    <x v="0"/>
    <x v="3"/>
    <x v="1"/>
    <x v="5"/>
    <x v="1"/>
  </r>
  <r>
    <s v="TX500764"/>
    <x v="7"/>
    <x v="12"/>
    <n v="88.9"/>
    <x v="682"/>
    <x v="32"/>
    <d v="2025-02-05T00:00:00"/>
    <x v="2"/>
    <x v="0"/>
    <x v="2"/>
    <x v="0"/>
    <x v="3"/>
    <x v="2"/>
    <x v="5"/>
    <x v="2"/>
  </r>
  <r>
    <s v="TX500765"/>
    <x v="6"/>
    <x v="0"/>
    <n v="62.5"/>
    <x v="683"/>
    <x v="32"/>
    <d v="2025-02-11T00:00:00"/>
    <x v="2"/>
    <x v="0"/>
    <x v="2"/>
    <x v="0"/>
    <x v="3"/>
    <x v="8"/>
    <x v="5"/>
    <x v="2"/>
  </r>
  <r>
    <s v="TX500766"/>
    <x v="1"/>
    <x v="2"/>
    <n v="46.9"/>
    <x v="684"/>
    <x v="32"/>
    <d v="2025-02-03T00:00:00"/>
    <x v="1"/>
    <x v="0"/>
    <x v="2"/>
    <x v="0"/>
    <x v="3"/>
    <x v="3"/>
    <x v="5"/>
    <x v="1"/>
  </r>
  <r>
    <s v="TX500767"/>
    <x v="8"/>
    <x v="2"/>
    <n v="45"/>
    <x v="340"/>
    <x v="32"/>
    <d v="2025-02-16T00:00:00"/>
    <x v="1"/>
    <x v="1"/>
    <x v="0"/>
    <x v="0"/>
    <x v="3"/>
    <x v="12"/>
    <x v="5"/>
    <x v="1"/>
  </r>
  <r>
    <s v="TX500768"/>
    <x v="6"/>
    <x v="2"/>
    <n v="45.2"/>
    <x v="685"/>
    <x v="32"/>
    <d v="2025-02-04T00:00:00"/>
    <x v="1"/>
    <x v="4"/>
    <x v="2"/>
    <x v="0"/>
    <x v="3"/>
    <x v="1"/>
    <x v="5"/>
    <x v="1"/>
  </r>
  <r>
    <s v="TX500769"/>
    <x v="4"/>
    <x v="1"/>
    <n v="60.1"/>
    <x v="493"/>
    <x v="32"/>
    <d v="2025-02-03T00:00:00"/>
    <x v="2"/>
    <x v="0"/>
    <x v="2"/>
    <x v="0"/>
    <x v="3"/>
    <x v="3"/>
    <x v="5"/>
    <x v="2"/>
  </r>
  <r>
    <s v="TX500770"/>
    <x v="12"/>
    <x v="12"/>
    <n v="118.7"/>
    <x v="686"/>
    <x v="32"/>
    <d v="2025-02-04T00:00:00"/>
    <x v="2"/>
    <x v="0"/>
    <x v="0"/>
    <x v="0"/>
    <x v="3"/>
    <x v="1"/>
    <x v="5"/>
    <x v="2"/>
  </r>
  <r>
    <s v="TX500771"/>
    <x v="9"/>
    <x v="0"/>
    <n v="57.8"/>
    <x v="687"/>
    <x v="32"/>
    <d v="2025-02-11T00:00:00"/>
    <x v="2"/>
    <x v="1"/>
    <x v="0"/>
    <x v="0"/>
    <x v="3"/>
    <x v="8"/>
    <x v="5"/>
    <x v="2"/>
  </r>
  <r>
    <s v="TX500772"/>
    <x v="4"/>
    <x v="0"/>
    <n v="19.5"/>
    <x v="688"/>
    <x v="32"/>
    <d v="2025-02-03T00:00:00"/>
    <x v="1"/>
    <x v="1"/>
    <x v="1"/>
    <x v="0"/>
    <x v="3"/>
    <x v="3"/>
    <x v="5"/>
    <x v="1"/>
  </r>
  <r>
    <s v="TX500773"/>
    <x v="12"/>
    <x v="0"/>
    <n v="42.6"/>
    <x v="440"/>
    <x v="32"/>
    <d v="2025-02-03T00:00:00"/>
    <x v="1"/>
    <x v="0"/>
    <x v="1"/>
    <x v="0"/>
    <x v="3"/>
    <x v="3"/>
    <x v="5"/>
    <x v="1"/>
  </r>
  <r>
    <s v="TX500774"/>
    <x v="6"/>
    <x v="1"/>
    <n v="74.8"/>
    <x v="689"/>
    <x v="32"/>
    <d v="2025-02-03T00:00:00"/>
    <x v="2"/>
    <x v="3"/>
    <x v="2"/>
    <x v="0"/>
    <x v="37"/>
    <x v="3"/>
    <x v="5"/>
    <x v="2"/>
  </r>
  <r>
    <s v="TX500775"/>
    <x v="8"/>
    <x v="2"/>
    <n v="32.5"/>
    <x v="647"/>
    <x v="32"/>
    <d v="2025-02-03T00:00:00"/>
    <x v="1"/>
    <x v="2"/>
    <x v="4"/>
    <x v="0"/>
    <x v="16"/>
    <x v="3"/>
    <x v="5"/>
    <x v="1"/>
  </r>
  <r>
    <s v="TX500776"/>
    <x v="2"/>
    <x v="2"/>
    <n v="60.5"/>
    <x v="690"/>
    <x v="32"/>
    <d v="2025-02-02T00:00:00"/>
    <x v="2"/>
    <x v="1"/>
    <x v="2"/>
    <x v="0"/>
    <x v="25"/>
    <x v="7"/>
    <x v="5"/>
    <x v="2"/>
  </r>
  <r>
    <s v="TX500777"/>
    <x v="1"/>
    <x v="3"/>
    <n v="57.2"/>
    <x v="691"/>
    <x v="32"/>
    <d v="2025-02-04T00:00:00"/>
    <x v="0"/>
    <x v="2"/>
    <x v="0"/>
    <x v="0"/>
    <x v="25"/>
    <x v="1"/>
    <x v="5"/>
    <x v="0"/>
  </r>
  <r>
    <s v="TX500778"/>
    <x v="16"/>
    <x v="1"/>
    <n v="112"/>
    <x v="692"/>
    <x v="32"/>
    <d v="2025-02-03T00:00:00"/>
    <x v="2"/>
    <x v="1"/>
    <x v="1"/>
    <x v="0"/>
    <x v="5"/>
    <x v="3"/>
    <x v="5"/>
    <x v="2"/>
  </r>
  <r>
    <s v="TX500779"/>
    <x v="7"/>
    <x v="7"/>
    <n v="49"/>
    <x v="157"/>
    <x v="32"/>
    <d v="2025-02-03T00:00:00"/>
    <x v="3"/>
    <x v="2"/>
    <x v="1"/>
    <x v="0"/>
    <x v="6"/>
    <x v="3"/>
    <x v="5"/>
    <x v="3"/>
  </r>
  <r>
    <s v="TX500780"/>
    <x v="0"/>
    <x v="1"/>
    <n v="33.700000000000003"/>
    <x v="693"/>
    <x v="32"/>
    <d v="2025-02-06T00:00:00"/>
    <x v="2"/>
    <x v="3"/>
    <x v="0"/>
    <x v="0"/>
    <x v="6"/>
    <x v="5"/>
    <x v="5"/>
    <x v="2"/>
  </r>
  <r>
    <s v="TX500781"/>
    <x v="4"/>
    <x v="2"/>
    <n v="35.6"/>
    <x v="694"/>
    <x v="32"/>
    <d v="2025-02-05T00:00:00"/>
    <x v="2"/>
    <x v="0"/>
    <x v="2"/>
    <x v="0"/>
    <x v="6"/>
    <x v="2"/>
    <x v="5"/>
    <x v="2"/>
  </r>
  <r>
    <s v="TX500782"/>
    <x v="4"/>
    <x v="36"/>
    <n v="30.4"/>
    <x v="695"/>
    <x v="33"/>
    <d v="2025-02-03T00:00:00"/>
    <x v="2"/>
    <x v="0"/>
    <x v="1"/>
    <x v="0"/>
    <x v="7"/>
    <x v="7"/>
    <x v="5"/>
    <x v="2"/>
  </r>
  <r>
    <s v="TX500783"/>
    <x v="10"/>
    <x v="4"/>
    <n v="50.2"/>
    <x v="696"/>
    <x v="33"/>
    <d v="2025-02-04T00:00:00"/>
    <x v="1"/>
    <x v="4"/>
    <x v="0"/>
    <x v="0"/>
    <x v="8"/>
    <x v="3"/>
    <x v="5"/>
    <x v="1"/>
  </r>
  <r>
    <s v="TX500784"/>
    <x v="1"/>
    <x v="1"/>
    <n v="43.7"/>
    <x v="697"/>
    <x v="33"/>
    <d v="2025-02-05T00:00:00"/>
    <x v="2"/>
    <x v="0"/>
    <x v="0"/>
    <x v="0"/>
    <x v="8"/>
    <x v="1"/>
    <x v="5"/>
    <x v="2"/>
  </r>
  <r>
    <s v="TX500785"/>
    <x v="10"/>
    <x v="0"/>
    <n v="33.299999999999997"/>
    <x v="698"/>
    <x v="33"/>
    <d v="2025-02-04T00:00:00"/>
    <x v="2"/>
    <x v="2"/>
    <x v="1"/>
    <x v="0"/>
    <x v="8"/>
    <x v="3"/>
    <x v="5"/>
    <x v="2"/>
  </r>
  <r>
    <s v="TX500786"/>
    <x v="8"/>
    <x v="12"/>
    <n v="15.1"/>
    <x v="266"/>
    <x v="33"/>
    <d v="2025-02-05T00:00:00"/>
    <x v="2"/>
    <x v="4"/>
    <x v="2"/>
    <x v="0"/>
    <x v="8"/>
    <x v="1"/>
    <x v="5"/>
    <x v="2"/>
  </r>
  <r>
    <s v="TX500787"/>
    <x v="6"/>
    <x v="9"/>
    <n v="118.2"/>
    <x v="699"/>
    <x v="33"/>
    <d v="2025-02-04T00:00:00"/>
    <x v="2"/>
    <x v="3"/>
    <x v="4"/>
    <x v="0"/>
    <x v="8"/>
    <x v="3"/>
    <x v="5"/>
    <x v="2"/>
  </r>
  <r>
    <s v="TX500788"/>
    <x v="10"/>
    <x v="2"/>
    <n v="28.9"/>
    <x v="700"/>
    <x v="33"/>
    <d v="2025-02-05T00:00:00"/>
    <x v="2"/>
    <x v="2"/>
    <x v="1"/>
    <x v="0"/>
    <x v="8"/>
    <x v="1"/>
    <x v="5"/>
    <x v="2"/>
  </r>
  <r>
    <s v="TX500789"/>
    <x v="4"/>
    <x v="2"/>
    <n v="55.6"/>
    <x v="701"/>
    <x v="33"/>
    <d v="2025-02-04T00:00:00"/>
    <x v="1"/>
    <x v="0"/>
    <x v="1"/>
    <x v="0"/>
    <x v="8"/>
    <x v="3"/>
    <x v="5"/>
    <x v="1"/>
  </r>
  <r>
    <s v="TX500790"/>
    <x v="9"/>
    <x v="12"/>
    <n v="25.6"/>
    <x v="298"/>
    <x v="33"/>
    <d v="2025-02-05T00:00:00"/>
    <x v="2"/>
    <x v="0"/>
    <x v="1"/>
    <x v="0"/>
    <x v="8"/>
    <x v="1"/>
    <x v="5"/>
    <x v="2"/>
  </r>
  <r>
    <s v="TX500791"/>
    <x v="7"/>
    <x v="2"/>
    <n v="31.3"/>
    <x v="442"/>
    <x v="33"/>
    <d v="2025-02-04T00:00:00"/>
    <x v="1"/>
    <x v="0"/>
    <x v="0"/>
    <x v="0"/>
    <x v="17"/>
    <x v="3"/>
    <x v="5"/>
    <x v="1"/>
  </r>
  <r>
    <s v="TX500792"/>
    <x v="0"/>
    <x v="2"/>
    <n v="22.1"/>
    <x v="702"/>
    <x v="33"/>
    <d v="2025-02-07T00:00:00"/>
    <x v="1"/>
    <x v="0"/>
    <x v="0"/>
    <x v="0"/>
    <x v="17"/>
    <x v="5"/>
    <x v="5"/>
    <x v="1"/>
  </r>
  <r>
    <s v="TX500793"/>
    <x v="2"/>
    <x v="21"/>
    <n v="99.4"/>
    <x v="703"/>
    <x v="33"/>
    <d v="2025-02-04T00:00:00"/>
    <x v="1"/>
    <x v="1"/>
    <x v="0"/>
    <x v="0"/>
    <x v="11"/>
    <x v="3"/>
    <x v="5"/>
    <x v="1"/>
  </r>
  <r>
    <s v="TX500794"/>
    <x v="7"/>
    <x v="13"/>
    <n v="66.599999999999994"/>
    <x v="704"/>
    <x v="33"/>
    <d v="2025-02-04T00:00:00"/>
    <x v="2"/>
    <x v="0"/>
    <x v="0"/>
    <x v="0"/>
    <x v="11"/>
    <x v="3"/>
    <x v="5"/>
    <x v="2"/>
  </r>
  <r>
    <s v="TX500795"/>
    <x v="8"/>
    <x v="1"/>
    <n v="22.6"/>
    <x v="705"/>
    <x v="33"/>
    <d v="2025-02-06T00:00:00"/>
    <x v="1"/>
    <x v="0"/>
    <x v="0"/>
    <x v="0"/>
    <x v="11"/>
    <x v="2"/>
    <x v="5"/>
    <x v="1"/>
  </r>
  <r>
    <s v="TX500796"/>
    <x v="2"/>
    <x v="16"/>
    <n v="66.8"/>
    <x v="706"/>
    <x v="33"/>
    <d v="2025-02-04T00:00:00"/>
    <x v="2"/>
    <x v="0"/>
    <x v="4"/>
    <x v="0"/>
    <x v="13"/>
    <x v="3"/>
    <x v="5"/>
    <x v="2"/>
  </r>
  <r>
    <s v="TX500797"/>
    <x v="0"/>
    <x v="12"/>
    <n v="20.8"/>
    <x v="707"/>
    <x v="33"/>
    <d v="2025-02-10T00:00:00"/>
    <x v="1"/>
    <x v="1"/>
    <x v="4"/>
    <x v="0"/>
    <x v="1"/>
    <x v="6"/>
    <x v="5"/>
    <x v="1"/>
  </r>
  <r>
    <s v="TX500798"/>
    <x v="2"/>
    <x v="3"/>
    <n v="102.5"/>
    <x v="708"/>
    <x v="33"/>
    <d v="2025-02-04T00:00:00"/>
    <x v="2"/>
    <x v="4"/>
    <x v="2"/>
    <x v="0"/>
    <x v="3"/>
    <x v="3"/>
    <x v="5"/>
    <x v="2"/>
  </r>
  <r>
    <s v="TX500799"/>
    <x v="0"/>
    <x v="16"/>
    <n v="24.8"/>
    <x v="709"/>
    <x v="33"/>
    <d v="2025-02-07T00:00:00"/>
    <x v="2"/>
    <x v="0"/>
    <x v="0"/>
    <x v="0"/>
    <x v="3"/>
    <x v="5"/>
    <x v="5"/>
    <x v="2"/>
  </r>
  <r>
    <s v="TX500800"/>
    <x v="4"/>
    <x v="37"/>
    <n v="31.4"/>
    <x v="710"/>
    <x v="33"/>
    <d v="2025-02-04T00:00:00"/>
    <x v="2"/>
    <x v="3"/>
    <x v="0"/>
    <x v="0"/>
    <x v="3"/>
    <x v="3"/>
    <x v="5"/>
    <x v="2"/>
  </r>
  <r>
    <s v="TX500801"/>
    <x v="9"/>
    <x v="9"/>
    <n v="59.3"/>
    <x v="711"/>
    <x v="33"/>
    <d v="2025-02-06T00:00:00"/>
    <x v="1"/>
    <x v="1"/>
    <x v="2"/>
    <x v="0"/>
    <x v="43"/>
    <x v="2"/>
    <x v="5"/>
    <x v="1"/>
  </r>
  <r>
    <s v="TX500802"/>
    <x v="11"/>
    <x v="13"/>
    <n v="39"/>
    <x v="540"/>
    <x v="33"/>
    <d v="2025-02-06T00:00:00"/>
    <x v="1"/>
    <x v="1"/>
    <x v="0"/>
    <x v="0"/>
    <x v="6"/>
    <x v="2"/>
    <x v="5"/>
    <x v="1"/>
  </r>
  <r>
    <s v="TX500803"/>
    <x v="5"/>
    <x v="13"/>
    <n v="98.6"/>
    <x v="712"/>
    <x v="33"/>
    <d v="2025-02-05T00:00:00"/>
    <x v="2"/>
    <x v="1"/>
    <x v="0"/>
    <x v="0"/>
    <x v="6"/>
    <x v="1"/>
    <x v="5"/>
    <x v="2"/>
  </r>
  <r>
    <s v="TX500804"/>
    <x v="8"/>
    <x v="0"/>
    <n v="20"/>
    <x v="614"/>
    <x v="34"/>
    <d v="2025-02-05T00:00:00"/>
    <x v="1"/>
    <x v="3"/>
    <x v="2"/>
    <x v="0"/>
    <x v="8"/>
    <x v="3"/>
    <x v="5"/>
    <x v="1"/>
  </r>
  <r>
    <s v="TX500805"/>
    <x v="1"/>
    <x v="1"/>
    <n v="42.9"/>
    <x v="550"/>
    <x v="34"/>
    <d v="2025-02-06T00:00:00"/>
    <x v="2"/>
    <x v="0"/>
    <x v="2"/>
    <x v="0"/>
    <x v="8"/>
    <x v="1"/>
    <x v="5"/>
    <x v="2"/>
  </r>
  <r>
    <s v="TX500806"/>
    <x v="7"/>
    <x v="3"/>
    <n v="55.6"/>
    <x v="713"/>
    <x v="34"/>
    <d v="2025-02-06T00:00:00"/>
    <x v="2"/>
    <x v="2"/>
    <x v="1"/>
    <x v="0"/>
    <x v="8"/>
    <x v="1"/>
    <x v="5"/>
    <x v="2"/>
  </r>
  <r>
    <s v="TX500807"/>
    <x v="8"/>
    <x v="12"/>
    <n v="19.2"/>
    <x v="714"/>
    <x v="34"/>
    <d v="2025-02-09T00:00:00"/>
    <x v="2"/>
    <x v="0"/>
    <x v="0"/>
    <x v="0"/>
    <x v="41"/>
    <x v="0"/>
    <x v="5"/>
    <x v="2"/>
  </r>
  <r>
    <s v="TX500808"/>
    <x v="5"/>
    <x v="1"/>
    <n v="28.8"/>
    <x v="636"/>
    <x v="34"/>
    <d v="2025-02-06T00:00:00"/>
    <x v="1"/>
    <x v="1"/>
    <x v="0"/>
    <x v="0"/>
    <x v="18"/>
    <x v="1"/>
    <x v="5"/>
    <x v="1"/>
  </r>
  <r>
    <s v="TX500809"/>
    <x v="4"/>
    <x v="0"/>
    <n v="29.7"/>
    <x v="47"/>
    <x v="34"/>
    <d v="2025-02-06T00:00:00"/>
    <x v="2"/>
    <x v="2"/>
    <x v="4"/>
    <x v="0"/>
    <x v="20"/>
    <x v="1"/>
    <x v="5"/>
    <x v="2"/>
  </r>
  <r>
    <s v="TX500810"/>
    <x v="6"/>
    <x v="13"/>
    <n v="63.3"/>
    <x v="715"/>
    <x v="34"/>
    <d v="2025-02-05T00:00:00"/>
    <x v="0"/>
    <x v="0"/>
    <x v="2"/>
    <x v="0"/>
    <x v="21"/>
    <x v="3"/>
    <x v="5"/>
    <x v="0"/>
  </r>
  <r>
    <s v="TX500811"/>
    <x v="4"/>
    <x v="0"/>
    <n v="46"/>
    <x v="716"/>
    <x v="34"/>
    <d v="2025-02-05T00:00:00"/>
    <x v="2"/>
    <x v="0"/>
    <x v="2"/>
    <x v="0"/>
    <x v="21"/>
    <x v="3"/>
    <x v="5"/>
    <x v="2"/>
  </r>
  <r>
    <s v="TX500812"/>
    <x v="11"/>
    <x v="2"/>
    <n v="38"/>
    <x v="717"/>
    <x v="34"/>
    <d v="2025-02-06T00:00:00"/>
    <x v="2"/>
    <x v="1"/>
    <x v="2"/>
    <x v="0"/>
    <x v="21"/>
    <x v="1"/>
    <x v="5"/>
    <x v="2"/>
  </r>
  <r>
    <s v="TX500813"/>
    <x v="10"/>
    <x v="15"/>
    <n v="34.6"/>
    <x v="327"/>
    <x v="34"/>
    <d v="2025-02-06T00:00:00"/>
    <x v="2"/>
    <x v="0"/>
    <x v="1"/>
    <x v="0"/>
    <x v="21"/>
    <x v="1"/>
    <x v="5"/>
    <x v="2"/>
  </r>
  <r>
    <s v="TX500814"/>
    <x v="3"/>
    <x v="7"/>
    <n v="79.7"/>
    <x v="718"/>
    <x v="34"/>
    <d v="2025-02-05T00:00:00"/>
    <x v="2"/>
    <x v="4"/>
    <x v="1"/>
    <x v="0"/>
    <x v="21"/>
    <x v="3"/>
    <x v="5"/>
    <x v="2"/>
  </r>
  <r>
    <s v="TX500815"/>
    <x v="8"/>
    <x v="8"/>
    <n v="30.5"/>
    <x v="719"/>
    <x v="34"/>
    <d v="2025-02-08T00:00:00"/>
    <x v="1"/>
    <x v="3"/>
    <x v="0"/>
    <x v="0"/>
    <x v="1"/>
    <x v="5"/>
    <x v="5"/>
    <x v="1"/>
  </r>
  <r>
    <s v="TX500816"/>
    <x v="0"/>
    <x v="1"/>
    <n v="20.8"/>
    <x v="480"/>
    <x v="34"/>
    <d v="2025-02-05T00:00:00"/>
    <x v="2"/>
    <x v="0"/>
    <x v="0"/>
    <x v="0"/>
    <x v="2"/>
    <x v="3"/>
    <x v="5"/>
    <x v="2"/>
  </r>
  <r>
    <s v="TX500817"/>
    <x v="11"/>
    <x v="3"/>
    <n v="48.5"/>
    <x v="720"/>
    <x v="34"/>
    <d v="2025-02-08T00:00:00"/>
    <x v="2"/>
    <x v="2"/>
    <x v="2"/>
    <x v="0"/>
    <x v="2"/>
    <x v="5"/>
    <x v="5"/>
    <x v="2"/>
  </r>
  <r>
    <s v="TX500818"/>
    <x v="2"/>
    <x v="12"/>
    <n v="61.8"/>
    <x v="721"/>
    <x v="34"/>
    <d v="2025-02-08T00:00:00"/>
    <x v="2"/>
    <x v="4"/>
    <x v="0"/>
    <x v="0"/>
    <x v="22"/>
    <x v="5"/>
    <x v="5"/>
    <x v="2"/>
  </r>
  <r>
    <s v="TX500819"/>
    <x v="10"/>
    <x v="0"/>
    <n v="46.1"/>
    <x v="722"/>
    <x v="34"/>
    <d v="2025-02-05T00:00:00"/>
    <x v="3"/>
    <x v="2"/>
    <x v="0"/>
    <x v="0"/>
    <x v="3"/>
    <x v="3"/>
    <x v="5"/>
    <x v="3"/>
  </r>
  <r>
    <s v="TX500820"/>
    <x v="4"/>
    <x v="13"/>
    <n v="44"/>
    <x v="723"/>
    <x v="34"/>
    <d v="2025-02-05T00:00:00"/>
    <x v="2"/>
    <x v="0"/>
    <x v="0"/>
    <x v="0"/>
    <x v="3"/>
    <x v="3"/>
    <x v="5"/>
    <x v="2"/>
  </r>
  <r>
    <s v="TX500821"/>
    <x v="18"/>
    <x v="1"/>
    <n v="95.7"/>
    <x v="724"/>
    <x v="34"/>
    <d v="2025-02-10T00:00:00"/>
    <x v="2"/>
    <x v="3"/>
    <x v="2"/>
    <x v="0"/>
    <x v="3"/>
    <x v="4"/>
    <x v="5"/>
    <x v="2"/>
  </r>
  <r>
    <s v="TX500822"/>
    <x v="7"/>
    <x v="9"/>
    <n v="46.4"/>
    <x v="615"/>
    <x v="34"/>
    <d v="2025-02-07T00:00:00"/>
    <x v="2"/>
    <x v="0"/>
    <x v="0"/>
    <x v="0"/>
    <x v="3"/>
    <x v="2"/>
    <x v="5"/>
    <x v="2"/>
  </r>
  <r>
    <s v="TX500823"/>
    <x v="6"/>
    <x v="1"/>
    <n v="47.2"/>
    <x v="725"/>
    <x v="34"/>
    <d v="2025-02-06T00:00:00"/>
    <x v="2"/>
    <x v="0"/>
    <x v="2"/>
    <x v="0"/>
    <x v="3"/>
    <x v="1"/>
    <x v="5"/>
    <x v="2"/>
  </r>
  <r>
    <s v="TX500824"/>
    <x v="7"/>
    <x v="1"/>
    <n v="58.6"/>
    <x v="726"/>
    <x v="34"/>
    <d v="2025-02-05T00:00:00"/>
    <x v="2"/>
    <x v="2"/>
    <x v="1"/>
    <x v="0"/>
    <x v="3"/>
    <x v="3"/>
    <x v="5"/>
    <x v="2"/>
  </r>
  <r>
    <s v="TX500825"/>
    <x v="4"/>
    <x v="2"/>
    <n v="57"/>
    <x v="727"/>
    <x v="34"/>
    <d v="2025-02-05T00:00:00"/>
    <x v="1"/>
    <x v="0"/>
    <x v="2"/>
    <x v="0"/>
    <x v="3"/>
    <x v="3"/>
    <x v="5"/>
    <x v="1"/>
  </r>
  <r>
    <s v="TX500826"/>
    <x v="8"/>
    <x v="12"/>
    <n v="28.9"/>
    <x v="446"/>
    <x v="34"/>
    <d v="2025-02-08T00:00:00"/>
    <x v="1"/>
    <x v="2"/>
    <x v="0"/>
    <x v="0"/>
    <x v="3"/>
    <x v="5"/>
    <x v="5"/>
    <x v="1"/>
  </r>
  <r>
    <s v="TX500827"/>
    <x v="12"/>
    <x v="9"/>
    <n v="60.7"/>
    <x v="728"/>
    <x v="34"/>
    <d v="2025-02-08T00:00:00"/>
    <x v="0"/>
    <x v="1"/>
    <x v="1"/>
    <x v="0"/>
    <x v="3"/>
    <x v="5"/>
    <x v="5"/>
    <x v="0"/>
  </r>
  <r>
    <s v="TX500828"/>
    <x v="6"/>
    <x v="9"/>
    <n v="60.8"/>
    <x v="729"/>
    <x v="34"/>
    <d v="2025-02-08T00:00:00"/>
    <x v="1"/>
    <x v="0"/>
    <x v="1"/>
    <x v="0"/>
    <x v="3"/>
    <x v="5"/>
    <x v="5"/>
    <x v="1"/>
  </r>
  <r>
    <s v="TX500829"/>
    <x v="6"/>
    <x v="9"/>
    <n v="64.599999999999994"/>
    <x v="730"/>
    <x v="34"/>
    <d v="2025-02-05T00:00:00"/>
    <x v="2"/>
    <x v="3"/>
    <x v="0"/>
    <x v="0"/>
    <x v="3"/>
    <x v="3"/>
    <x v="5"/>
    <x v="2"/>
  </r>
  <r>
    <s v="TX500830"/>
    <x v="8"/>
    <x v="0"/>
    <n v="21.9"/>
    <x v="731"/>
    <x v="34"/>
    <d v="2025-02-07T00:00:00"/>
    <x v="1"/>
    <x v="1"/>
    <x v="2"/>
    <x v="0"/>
    <x v="4"/>
    <x v="2"/>
    <x v="5"/>
    <x v="1"/>
  </r>
  <r>
    <s v="TX500831"/>
    <x v="4"/>
    <x v="4"/>
    <n v="33.4"/>
    <x v="732"/>
    <x v="34"/>
    <d v="2025-02-06T00:00:00"/>
    <x v="2"/>
    <x v="0"/>
    <x v="0"/>
    <x v="0"/>
    <x v="23"/>
    <x v="1"/>
    <x v="5"/>
    <x v="2"/>
  </r>
  <r>
    <s v="TX500832"/>
    <x v="2"/>
    <x v="0"/>
    <n v="51.7"/>
    <x v="733"/>
    <x v="34"/>
    <d v="2025-02-05T00:00:00"/>
    <x v="0"/>
    <x v="0"/>
    <x v="0"/>
    <x v="0"/>
    <x v="6"/>
    <x v="3"/>
    <x v="5"/>
    <x v="0"/>
  </r>
  <r>
    <s v="TX500833"/>
    <x v="1"/>
    <x v="12"/>
    <n v="84.9"/>
    <x v="734"/>
    <x v="34"/>
    <d v="2025-02-05T00:00:00"/>
    <x v="2"/>
    <x v="1"/>
    <x v="1"/>
    <x v="0"/>
    <x v="6"/>
    <x v="3"/>
    <x v="5"/>
    <x v="2"/>
  </r>
  <r>
    <s v="TX500834"/>
    <x v="1"/>
    <x v="5"/>
    <n v="62.3"/>
    <x v="735"/>
    <x v="34"/>
    <d v="2025-02-05T00:00:00"/>
    <x v="2"/>
    <x v="2"/>
    <x v="2"/>
    <x v="0"/>
    <x v="7"/>
    <x v="3"/>
    <x v="5"/>
    <x v="2"/>
  </r>
  <r>
    <s v="TX500835"/>
    <x v="4"/>
    <x v="0"/>
    <n v="50.7"/>
    <x v="163"/>
    <x v="34"/>
    <d v="2025-02-06T00:00:00"/>
    <x v="1"/>
    <x v="2"/>
    <x v="2"/>
    <x v="0"/>
    <x v="8"/>
    <x v="1"/>
    <x v="5"/>
    <x v="1"/>
  </r>
  <r>
    <s v="TX500836"/>
    <x v="18"/>
    <x v="0"/>
    <n v="39.5"/>
    <x v="736"/>
    <x v="34"/>
    <d v="2025-02-05T00:00:00"/>
    <x v="1"/>
    <x v="4"/>
    <x v="1"/>
    <x v="0"/>
    <x v="8"/>
    <x v="3"/>
    <x v="5"/>
    <x v="1"/>
  </r>
  <r>
    <s v="TX500837"/>
    <x v="12"/>
    <x v="2"/>
    <n v="30.9"/>
    <x v="737"/>
    <x v="34"/>
    <d v="2025-02-05T00:00:00"/>
    <x v="0"/>
    <x v="4"/>
    <x v="2"/>
    <x v="0"/>
    <x v="8"/>
    <x v="3"/>
    <x v="5"/>
    <x v="0"/>
  </r>
  <r>
    <s v="TX500838"/>
    <x v="1"/>
    <x v="3"/>
    <n v="36.4"/>
    <x v="133"/>
    <x v="34"/>
    <d v="2025-02-07T00:00:00"/>
    <x v="2"/>
    <x v="0"/>
    <x v="2"/>
    <x v="0"/>
    <x v="8"/>
    <x v="2"/>
    <x v="5"/>
    <x v="2"/>
  </r>
  <r>
    <s v="TX500839"/>
    <x v="6"/>
    <x v="8"/>
    <n v="105.6"/>
    <x v="738"/>
    <x v="34"/>
    <d v="2025-02-14T00:00:00"/>
    <x v="2"/>
    <x v="0"/>
    <x v="0"/>
    <x v="0"/>
    <x v="8"/>
    <x v="14"/>
    <x v="5"/>
    <x v="2"/>
  </r>
  <r>
    <s v="TX500840"/>
    <x v="8"/>
    <x v="1"/>
    <n v="22.1"/>
    <x v="573"/>
    <x v="34"/>
    <d v="2025-02-05T00:00:00"/>
    <x v="2"/>
    <x v="0"/>
    <x v="2"/>
    <x v="0"/>
    <x v="17"/>
    <x v="3"/>
    <x v="5"/>
    <x v="2"/>
  </r>
  <r>
    <s v="TX500841"/>
    <x v="0"/>
    <x v="2"/>
    <n v="22.6"/>
    <x v="418"/>
    <x v="34"/>
    <d v="2025-02-05T00:00:00"/>
    <x v="2"/>
    <x v="2"/>
    <x v="0"/>
    <x v="0"/>
    <x v="17"/>
    <x v="3"/>
    <x v="5"/>
    <x v="2"/>
  </r>
  <r>
    <s v="TX500842"/>
    <x v="10"/>
    <x v="13"/>
    <n v="26.3"/>
    <x v="739"/>
    <x v="34"/>
    <d v="2025-02-04T00:00:00"/>
    <x v="2"/>
    <x v="2"/>
    <x v="0"/>
    <x v="0"/>
    <x v="9"/>
    <x v="7"/>
    <x v="5"/>
    <x v="2"/>
  </r>
  <r>
    <s v="TX500843"/>
    <x v="1"/>
    <x v="12"/>
    <n v="37.799999999999997"/>
    <x v="277"/>
    <x v="34"/>
    <d v="2025-02-05T00:00:00"/>
    <x v="2"/>
    <x v="0"/>
    <x v="2"/>
    <x v="0"/>
    <x v="11"/>
    <x v="3"/>
    <x v="5"/>
    <x v="2"/>
  </r>
  <r>
    <s v="TX500844"/>
    <x v="6"/>
    <x v="14"/>
    <n v="96"/>
    <x v="740"/>
    <x v="34"/>
    <d v="2025-02-07T00:00:00"/>
    <x v="2"/>
    <x v="4"/>
    <x v="1"/>
    <x v="0"/>
    <x v="18"/>
    <x v="2"/>
    <x v="5"/>
    <x v="2"/>
  </r>
  <r>
    <s v="TX500845"/>
    <x v="1"/>
    <x v="0"/>
    <n v="83.6"/>
    <x v="681"/>
    <x v="34"/>
    <d v="2025-02-07T00:00:00"/>
    <x v="2"/>
    <x v="2"/>
    <x v="1"/>
    <x v="0"/>
    <x v="19"/>
    <x v="2"/>
    <x v="5"/>
    <x v="2"/>
  </r>
  <r>
    <s v="TX500846"/>
    <x v="2"/>
    <x v="13"/>
    <n v="72.599999999999994"/>
    <x v="349"/>
    <x v="34"/>
    <d v="2025-02-05T00:00:00"/>
    <x v="2"/>
    <x v="0"/>
    <x v="0"/>
    <x v="0"/>
    <x v="21"/>
    <x v="3"/>
    <x v="5"/>
    <x v="2"/>
  </r>
  <r>
    <s v="TX500847"/>
    <x v="5"/>
    <x v="28"/>
    <n v="69.099999999999994"/>
    <x v="741"/>
    <x v="35"/>
    <d v="2025-02-11T00:00:00"/>
    <x v="1"/>
    <x v="0"/>
    <x v="2"/>
    <x v="0"/>
    <x v="21"/>
    <x v="4"/>
    <x v="5"/>
    <x v="1"/>
  </r>
  <r>
    <s v="TX500848"/>
    <x v="4"/>
    <x v="1"/>
    <n v="22.6"/>
    <x v="705"/>
    <x v="35"/>
    <d v="2025-02-07T00:00:00"/>
    <x v="2"/>
    <x v="1"/>
    <x v="2"/>
    <x v="0"/>
    <x v="21"/>
    <x v="1"/>
    <x v="5"/>
    <x v="2"/>
  </r>
  <r>
    <s v="TX500849"/>
    <x v="6"/>
    <x v="1"/>
    <n v="45.3"/>
    <x v="742"/>
    <x v="35"/>
    <d v="2025-02-09T00:00:00"/>
    <x v="1"/>
    <x v="4"/>
    <x v="2"/>
    <x v="0"/>
    <x v="21"/>
    <x v="5"/>
    <x v="5"/>
    <x v="1"/>
  </r>
  <r>
    <s v="TX500850"/>
    <x v="2"/>
    <x v="1"/>
    <n v="115.1"/>
    <x v="743"/>
    <x v="35"/>
    <d v="2025-02-06T00:00:00"/>
    <x v="2"/>
    <x v="1"/>
    <x v="0"/>
    <x v="0"/>
    <x v="1"/>
    <x v="3"/>
    <x v="5"/>
    <x v="2"/>
  </r>
  <r>
    <s v="TX500851"/>
    <x v="18"/>
    <x v="12"/>
    <n v="79"/>
    <x v="744"/>
    <x v="35"/>
    <d v="2025-02-07T00:00:00"/>
    <x v="1"/>
    <x v="2"/>
    <x v="4"/>
    <x v="0"/>
    <x v="1"/>
    <x v="1"/>
    <x v="5"/>
    <x v="1"/>
  </r>
  <r>
    <s v="TX500852"/>
    <x v="6"/>
    <x v="9"/>
    <n v="52.8"/>
    <x v="723"/>
    <x v="35"/>
    <d v="2025-02-06T00:00:00"/>
    <x v="2"/>
    <x v="0"/>
    <x v="0"/>
    <x v="0"/>
    <x v="42"/>
    <x v="3"/>
    <x v="5"/>
    <x v="2"/>
  </r>
  <r>
    <s v="TX500853"/>
    <x v="8"/>
    <x v="1"/>
    <n v="34.1"/>
    <x v="745"/>
    <x v="35"/>
    <d v="2025-02-06T00:00:00"/>
    <x v="1"/>
    <x v="3"/>
    <x v="2"/>
    <x v="0"/>
    <x v="44"/>
    <x v="3"/>
    <x v="5"/>
    <x v="1"/>
  </r>
  <r>
    <s v="TX500854"/>
    <x v="6"/>
    <x v="9"/>
    <n v="107.9"/>
    <x v="746"/>
    <x v="35"/>
    <d v="2025-02-05T00:00:00"/>
    <x v="2"/>
    <x v="0"/>
    <x v="2"/>
    <x v="0"/>
    <x v="50"/>
    <x v="7"/>
    <x v="5"/>
    <x v="2"/>
  </r>
  <r>
    <s v="TX500855"/>
    <x v="8"/>
    <x v="15"/>
    <n v="48.5"/>
    <x v="747"/>
    <x v="35"/>
    <d v="2025-02-05T00:00:00"/>
    <x v="1"/>
    <x v="2"/>
    <x v="2"/>
    <x v="0"/>
    <x v="3"/>
    <x v="7"/>
    <x v="5"/>
    <x v="1"/>
  </r>
  <r>
    <s v="TX500856"/>
    <x v="5"/>
    <x v="2"/>
    <n v="34.700000000000003"/>
    <x v="748"/>
    <x v="35"/>
    <d v="2025-02-06T00:00:00"/>
    <x v="0"/>
    <x v="4"/>
    <x v="1"/>
    <x v="0"/>
    <x v="3"/>
    <x v="3"/>
    <x v="5"/>
    <x v="0"/>
  </r>
  <r>
    <s v="TX500857"/>
    <x v="8"/>
    <x v="0"/>
    <n v="16.8"/>
    <x v="749"/>
    <x v="35"/>
    <d v="2025-02-07T00:00:00"/>
    <x v="2"/>
    <x v="3"/>
    <x v="0"/>
    <x v="0"/>
    <x v="3"/>
    <x v="1"/>
    <x v="5"/>
    <x v="2"/>
  </r>
  <r>
    <s v="TX500858"/>
    <x v="8"/>
    <x v="13"/>
    <n v="18.3"/>
    <x v="17"/>
    <x v="35"/>
    <d v="2025-02-08T00:00:00"/>
    <x v="2"/>
    <x v="0"/>
    <x v="0"/>
    <x v="0"/>
    <x v="3"/>
    <x v="2"/>
    <x v="5"/>
    <x v="2"/>
  </r>
  <r>
    <s v="TX500859"/>
    <x v="18"/>
    <x v="2"/>
    <n v="55.9"/>
    <x v="750"/>
    <x v="35"/>
    <d v="2025-02-11T00:00:00"/>
    <x v="1"/>
    <x v="3"/>
    <x v="1"/>
    <x v="0"/>
    <x v="3"/>
    <x v="4"/>
    <x v="5"/>
    <x v="1"/>
  </r>
  <r>
    <s v="TX500860"/>
    <x v="8"/>
    <x v="2"/>
    <n v="39.200000000000003"/>
    <x v="557"/>
    <x v="35"/>
    <d v="2025-02-07T00:00:00"/>
    <x v="2"/>
    <x v="0"/>
    <x v="1"/>
    <x v="0"/>
    <x v="3"/>
    <x v="1"/>
    <x v="5"/>
    <x v="2"/>
  </r>
  <r>
    <s v="TX500861"/>
    <x v="15"/>
    <x v="12"/>
    <n v="66.5"/>
    <x v="751"/>
    <x v="35"/>
    <d v="2025-02-07T00:00:00"/>
    <x v="0"/>
    <x v="3"/>
    <x v="1"/>
    <x v="0"/>
    <x v="3"/>
    <x v="1"/>
    <x v="5"/>
    <x v="0"/>
  </r>
  <r>
    <s v="TX500862"/>
    <x v="6"/>
    <x v="13"/>
    <n v="52.1"/>
    <x v="752"/>
    <x v="35"/>
    <d v="2025-02-07T00:00:00"/>
    <x v="1"/>
    <x v="1"/>
    <x v="1"/>
    <x v="0"/>
    <x v="16"/>
    <x v="1"/>
    <x v="5"/>
    <x v="1"/>
  </r>
  <r>
    <s v="TX500863"/>
    <x v="8"/>
    <x v="1"/>
    <n v="19"/>
    <x v="753"/>
    <x v="35"/>
    <d v="2025-02-06T00:00:00"/>
    <x v="1"/>
    <x v="4"/>
    <x v="2"/>
    <x v="0"/>
    <x v="6"/>
    <x v="3"/>
    <x v="5"/>
    <x v="1"/>
  </r>
  <r>
    <s v="TX500864"/>
    <x v="7"/>
    <x v="2"/>
    <n v="84.8"/>
    <x v="754"/>
    <x v="35"/>
    <d v="2025-02-07T00:00:00"/>
    <x v="2"/>
    <x v="2"/>
    <x v="0"/>
    <x v="0"/>
    <x v="8"/>
    <x v="1"/>
    <x v="5"/>
    <x v="2"/>
  </r>
  <r>
    <s v="TX500865"/>
    <x v="2"/>
    <x v="12"/>
    <n v="63.9"/>
    <x v="755"/>
    <x v="35"/>
    <d v="2025-02-08T00:00:00"/>
    <x v="2"/>
    <x v="0"/>
    <x v="0"/>
    <x v="0"/>
    <x v="8"/>
    <x v="2"/>
    <x v="5"/>
    <x v="2"/>
  </r>
  <r>
    <s v="TX500866"/>
    <x v="2"/>
    <x v="2"/>
    <n v="65.5"/>
    <x v="756"/>
    <x v="35"/>
    <d v="2025-02-05T00:00:00"/>
    <x v="2"/>
    <x v="1"/>
    <x v="1"/>
    <x v="0"/>
    <x v="8"/>
    <x v="7"/>
    <x v="5"/>
    <x v="2"/>
  </r>
  <r>
    <s v="TX500867"/>
    <x v="12"/>
    <x v="1"/>
    <n v="116.2"/>
    <x v="757"/>
    <x v="35"/>
    <d v="2025-02-11T00:00:00"/>
    <x v="1"/>
    <x v="3"/>
    <x v="0"/>
    <x v="0"/>
    <x v="17"/>
    <x v="4"/>
    <x v="5"/>
    <x v="1"/>
  </r>
  <r>
    <s v="TX500868"/>
    <x v="10"/>
    <x v="12"/>
    <n v="22.9"/>
    <x v="758"/>
    <x v="35"/>
    <d v="2025-02-07T00:00:00"/>
    <x v="2"/>
    <x v="2"/>
    <x v="1"/>
    <x v="0"/>
    <x v="38"/>
    <x v="1"/>
    <x v="5"/>
    <x v="2"/>
  </r>
  <r>
    <s v="TX500869"/>
    <x v="10"/>
    <x v="2"/>
    <n v="53.7"/>
    <x v="759"/>
    <x v="35"/>
    <d v="2025-02-06T00:00:00"/>
    <x v="1"/>
    <x v="0"/>
    <x v="4"/>
    <x v="0"/>
    <x v="18"/>
    <x v="3"/>
    <x v="5"/>
    <x v="1"/>
  </r>
  <r>
    <s v="TX500870"/>
    <x v="6"/>
    <x v="9"/>
    <n v="43.2"/>
    <x v="760"/>
    <x v="35"/>
    <d v="2025-02-07T00:00:00"/>
    <x v="2"/>
    <x v="0"/>
    <x v="0"/>
    <x v="0"/>
    <x v="19"/>
    <x v="1"/>
    <x v="5"/>
    <x v="2"/>
  </r>
  <r>
    <s v="TX500871"/>
    <x v="1"/>
    <x v="2"/>
    <n v="84.5"/>
    <x v="103"/>
    <x v="35"/>
    <d v="2025-02-07T00:00:00"/>
    <x v="1"/>
    <x v="2"/>
    <x v="2"/>
    <x v="0"/>
    <x v="51"/>
    <x v="1"/>
    <x v="5"/>
    <x v="1"/>
  </r>
  <r>
    <s v="TX500872"/>
    <x v="3"/>
    <x v="1"/>
    <n v="42.2"/>
    <x v="533"/>
    <x v="35"/>
    <d v="2025-02-06T00:00:00"/>
    <x v="2"/>
    <x v="1"/>
    <x v="2"/>
    <x v="0"/>
    <x v="1"/>
    <x v="3"/>
    <x v="5"/>
    <x v="2"/>
  </r>
  <r>
    <s v="TX500873"/>
    <x v="2"/>
    <x v="13"/>
    <n v="94.7"/>
    <x v="761"/>
    <x v="35"/>
    <d v="2025-02-08T00:00:00"/>
    <x v="2"/>
    <x v="1"/>
    <x v="2"/>
    <x v="0"/>
    <x v="2"/>
    <x v="2"/>
    <x v="5"/>
    <x v="2"/>
  </r>
  <r>
    <s v="TX500874"/>
    <x v="8"/>
    <x v="16"/>
    <n v="16.7"/>
    <x v="182"/>
    <x v="35"/>
    <d v="2025-02-17T00:00:00"/>
    <x v="2"/>
    <x v="0"/>
    <x v="2"/>
    <x v="0"/>
    <x v="2"/>
    <x v="13"/>
    <x v="5"/>
    <x v="2"/>
  </r>
  <r>
    <s v="TX500875"/>
    <x v="2"/>
    <x v="1"/>
    <n v="83.6"/>
    <x v="762"/>
    <x v="35"/>
    <d v="2025-02-11T00:00:00"/>
    <x v="2"/>
    <x v="1"/>
    <x v="0"/>
    <x v="0"/>
    <x v="3"/>
    <x v="4"/>
    <x v="5"/>
    <x v="2"/>
  </r>
  <r>
    <s v="TX500876"/>
    <x v="7"/>
    <x v="13"/>
    <n v="33.6"/>
    <x v="763"/>
    <x v="36"/>
    <d v="2025-02-07T00:00:00"/>
    <x v="2"/>
    <x v="3"/>
    <x v="0"/>
    <x v="0"/>
    <x v="3"/>
    <x v="3"/>
    <x v="5"/>
    <x v="2"/>
  </r>
  <r>
    <s v="TX500877"/>
    <x v="7"/>
    <x v="1"/>
    <n v="64.7"/>
    <x v="385"/>
    <x v="36"/>
    <d v="2025-02-08T00:00:00"/>
    <x v="1"/>
    <x v="1"/>
    <x v="2"/>
    <x v="0"/>
    <x v="3"/>
    <x v="1"/>
    <x v="5"/>
    <x v="1"/>
  </r>
  <r>
    <s v="TX500878"/>
    <x v="0"/>
    <x v="2"/>
    <n v="15.7"/>
    <x v="179"/>
    <x v="36"/>
    <d v="2025-02-12T00:00:00"/>
    <x v="2"/>
    <x v="0"/>
    <x v="0"/>
    <x v="0"/>
    <x v="3"/>
    <x v="4"/>
    <x v="5"/>
    <x v="2"/>
  </r>
  <r>
    <s v="TX500879"/>
    <x v="15"/>
    <x v="13"/>
    <n v="49.4"/>
    <x v="764"/>
    <x v="36"/>
    <d v="2025-02-06T00:00:00"/>
    <x v="1"/>
    <x v="1"/>
    <x v="0"/>
    <x v="0"/>
    <x v="3"/>
    <x v="7"/>
    <x v="5"/>
    <x v="1"/>
  </r>
  <r>
    <s v="TX500880"/>
    <x v="10"/>
    <x v="13"/>
    <n v="37"/>
    <x v="765"/>
    <x v="36"/>
    <d v="2025-02-09T00:00:00"/>
    <x v="2"/>
    <x v="1"/>
    <x v="2"/>
    <x v="0"/>
    <x v="3"/>
    <x v="2"/>
    <x v="5"/>
    <x v="2"/>
  </r>
  <r>
    <s v="TX500881"/>
    <x v="2"/>
    <x v="1"/>
    <n v="83.7"/>
    <x v="589"/>
    <x v="36"/>
    <d v="2025-02-08T00:00:00"/>
    <x v="2"/>
    <x v="3"/>
    <x v="2"/>
    <x v="0"/>
    <x v="3"/>
    <x v="1"/>
    <x v="5"/>
    <x v="2"/>
  </r>
  <r>
    <s v="TX500882"/>
    <x v="1"/>
    <x v="9"/>
    <n v="35.1"/>
    <x v="766"/>
    <x v="36"/>
    <d v="2025-02-07T00:00:00"/>
    <x v="2"/>
    <x v="0"/>
    <x v="0"/>
    <x v="0"/>
    <x v="3"/>
    <x v="3"/>
    <x v="5"/>
    <x v="2"/>
  </r>
  <r>
    <s v="TX500883"/>
    <x v="16"/>
    <x v="8"/>
    <n v="74"/>
    <x v="767"/>
    <x v="36"/>
    <d v="2025-02-07T00:00:00"/>
    <x v="2"/>
    <x v="4"/>
    <x v="0"/>
    <x v="0"/>
    <x v="37"/>
    <x v="3"/>
    <x v="5"/>
    <x v="2"/>
  </r>
  <r>
    <s v="TX500884"/>
    <x v="6"/>
    <x v="25"/>
    <n v="55.5"/>
    <x v="768"/>
    <x v="36"/>
    <d v="2025-02-09T00:00:00"/>
    <x v="1"/>
    <x v="3"/>
    <x v="0"/>
    <x v="0"/>
    <x v="49"/>
    <x v="2"/>
    <x v="5"/>
    <x v="1"/>
  </r>
  <r>
    <s v="TX500885"/>
    <x v="11"/>
    <x v="1"/>
    <n v="38.9"/>
    <x v="482"/>
    <x v="36"/>
    <d v="2025-02-08T00:00:00"/>
    <x v="2"/>
    <x v="1"/>
    <x v="2"/>
    <x v="0"/>
    <x v="25"/>
    <x v="1"/>
    <x v="5"/>
    <x v="2"/>
  </r>
  <r>
    <s v="TX500886"/>
    <x v="16"/>
    <x v="1"/>
    <n v="64.599999999999994"/>
    <x v="769"/>
    <x v="36"/>
    <d v="2025-02-13T00:00:00"/>
    <x v="1"/>
    <x v="2"/>
    <x v="1"/>
    <x v="0"/>
    <x v="25"/>
    <x v="6"/>
    <x v="5"/>
    <x v="1"/>
  </r>
  <r>
    <s v="TX500887"/>
    <x v="2"/>
    <x v="2"/>
    <n v="95.3"/>
    <x v="770"/>
    <x v="36"/>
    <d v="2025-02-07T00:00:00"/>
    <x v="1"/>
    <x v="0"/>
    <x v="0"/>
    <x v="0"/>
    <x v="5"/>
    <x v="3"/>
    <x v="5"/>
    <x v="1"/>
  </r>
  <r>
    <s v="TX500888"/>
    <x v="13"/>
    <x v="2"/>
    <n v="25.8"/>
    <x v="771"/>
    <x v="36"/>
    <d v="2025-02-07T00:00:00"/>
    <x v="2"/>
    <x v="1"/>
    <x v="1"/>
    <x v="0"/>
    <x v="6"/>
    <x v="3"/>
    <x v="5"/>
    <x v="2"/>
  </r>
  <r>
    <s v="TX500889"/>
    <x v="0"/>
    <x v="1"/>
    <n v="11.6"/>
    <x v="772"/>
    <x v="36"/>
    <d v="2025-02-10T00:00:00"/>
    <x v="2"/>
    <x v="1"/>
    <x v="1"/>
    <x v="0"/>
    <x v="6"/>
    <x v="5"/>
    <x v="5"/>
    <x v="2"/>
  </r>
  <r>
    <s v="TX500890"/>
    <x v="7"/>
    <x v="0"/>
    <n v="52.3"/>
    <x v="773"/>
    <x v="36"/>
    <d v="2025-02-07T00:00:00"/>
    <x v="2"/>
    <x v="1"/>
    <x v="0"/>
    <x v="0"/>
    <x v="8"/>
    <x v="3"/>
    <x v="5"/>
    <x v="2"/>
  </r>
  <r>
    <s v="TX500891"/>
    <x v="2"/>
    <x v="7"/>
    <n v="112.2"/>
    <x v="774"/>
    <x v="36"/>
    <d v="2025-02-07T00:00:00"/>
    <x v="2"/>
    <x v="1"/>
    <x v="1"/>
    <x v="0"/>
    <x v="8"/>
    <x v="3"/>
    <x v="5"/>
    <x v="2"/>
  </r>
  <r>
    <s v="TX500892"/>
    <x v="4"/>
    <x v="9"/>
    <n v="34.6"/>
    <x v="775"/>
    <x v="36"/>
    <d v="2025-02-08T00:00:00"/>
    <x v="1"/>
    <x v="2"/>
    <x v="0"/>
    <x v="0"/>
    <x v="8"/>
    <x v="1"/>
    <x v="5"/>
    <x v="1"/>
  </r>
  <r>
    <s v="TX500893"/>
    <x v="14"/>
    <x v="12"/>
    <n v="20.100000000000001"/>
    <x v="48"/>
    <x v="36"/>
    <d v="2025-02-12T00:00:00"/>
    <x v="1"/>
    <x v="1"/>
    <x v="2"/>
    <x v="0"/>
    <x v="8"/>
    <x v="4"/>
    <x v="5"/>
    <x v="1"/>
  </r>
  <r>
    <s v="TX500894"/>
    <x v="2"/>
    <x v="12"/>
    <n v="56.4"/>
    <x v="776"/>
    <x v="36"/>
    <d v="2025-02-08T00:00:00"/>
    <x v="2"/>
    <x v="2"/>
    <x v="0"/>
    <x v="0"/>
    <x v="10"/>
    <x v="1"/>
    <x v="5"/>
    <x v="2"/>
  </r>
  <r>
    <s v="TX500895"/>
    <x v="13"/>
    <x v="11"/>
    <n v="55.3"/>
    <x v="777"/>
    <x v="36"/>
    <d v="2025-02-08T00:00:00"/>
    <x v="2"/>
    <x v="1"/>
    <x v="4"/>
    <x v="0"/>
    <x v="11"/>
    <x v="1"/>
    <x v="5"/>
    <x v="2"/>
  </r>
  <r>
    <s v="TX500896"/>
    <x v="2"/>
    <x v="31"/>
    <n v="75.5"/>
    <x v="778"/>
    <x v="36"/>
    <d v="2025-02-07T00:00:00"/>
    <x v="2"/>
    <x v="0"/>
    <x v="0"/>
    <x v="0"/>
    <x v="11"/>
    <x v="3"/>
    <x v="5"/>
    <x v="2"/>
  </r>
  <r>
    <s v="TX500897"/>
    <x v="8"/>
    <x v="0"/>
    <n v="23.6"/>
    <x v="779"/>
    <x v="36"/>
    <d v="2025-02-11T00:00:00"/>
    <x v="2"/>
    <x v="0"/>
    <x v="0"/>
    <x v="0"/>
    <x v="19"/>
    <x v="0"/>
    <x v="5"/>
    <x v="2"/>
  </r>
  <r>
    <s v="TX500898"/>
    <x v="9"/>
    <x v="1"/>
    <n v="70.7"/>
    <x v="780"/>
    <x v="36"/>
    <d v="2025-02-08T00:00:00"/>
    <x v="2"/>
    <x v="2"/>
    <x v="0"/>
    <x v="0"/>
    <x v="19"/>
    <x v="1"/>
    <x v="5"/>
    <x v="2"/>
  </r>
  <r>
    <s v="TX500899"/>
    <x v="12"/>
    <x v="1"/>
    <n v="43.2"/>
    <x v="781"/>
    <x v="36"/>
    <d v="2025-02-07T00:00:00"/>
    <x v="2"/>
    <x v="2"/>
    <x v="0"/>
    <x v="0"/>
    <x v="31"/>
    <x v="3"/>
    <x v="5"/>
    <x v="2"/>
  </r>
  <r>
    <s v="TX500900"/>
    <x v="9"/>
    <x v="11"/>
    <n v="70"/>
    <x v="782"/>
    <x v="36"/>
    <d v="2025-02-07T00:00:00"/>
    <x v="0"/>
    <x v="1"/>
    <x v="0"/>
    <x v="0"/>
    <x v="52"/>
    <x v="3"/>
    <x v="5"/>
    <x v="0"/>
  </r>
  <r>
    <s v="TX500901"/>
    <x v="0"/>
    <x v="1"/>
    <n v="20.5"/>
    <x v="783"/>
    <x v="36"/>
    <d v="2025-02-08T00:00:00"/>
    <x v="2"/>
    <x v="2"/>
    <x v="4"/>
    <x v="0"/>
    <x v="13"/>
    <x v="1"/>
    <x v="5"/>
    <x v="2"/>
  </r>
  <r>
    <s v="TX500902"/>
    <x v="0"/>
    <x v="12"/>
    <n v="29.1"/>
    <x v="565"/>
    <x v="36"/>
    <d v="2025-02-07T00:00:00"/>
    <x v="2"/>
    <x v="3"/>
    <x v="0"/>
    <x v="0"/>
    <x v="28"/>
    <x v="3"/>
    <x v="5"/>
    <x v="2"/>
  </r>
  <r>
    <s v="TX500903"/>
    <x v="6"/>
    <x v="11"/>
    <n v="53.6"/>
    <x v="784"/>
    <x v="36"/>
    <d v="2025-02-07T00:00:00"/>
    <x v="1"/>
    <x v="2"/>
    <x v="1"/>
    <x v="0"/>
    <x v="3"/>
    <x v="3"/>
    <x v="5"/>
    <x v="1"/>
  </r>
  <r>
    <s v="TX500904"/>
    <x v="6"/>
    <x v="9"/>
    <n v="72.3"/>
    <x v="785"/>
    <x v="36"/>
    <d v="2025-02-08T00:00:00"/>
    <x v="2"/>
    <x v="1"/>
    <x v="0"/>
    <x v="0"/>
    <x v="3"/>
    <x v="1"/>
    <x v="5"/>
    <x v="2"/>
  </r>
  <r>
    <s v="TX500905"/>
    <x v="13"/>
    <x v="12"/>
    <n v="22.6"/>
    <x v="786"/>
    <x v="36"/>
    <d v="2025-02-09T00:00:00"/>
    <x v="3"/>
    <x v="0"/>
    <x v="1"/>
    <x v="0"/>
    <x v="3"/>
    <x v="2"/>
    <x v="5"/>
    <x v="3"/>
  </r>
  <r>
    <s v="TX500906"/>
    <x v="9"/>
    <x v="1"/>
    <n v="44.2"/>
    <x v="787"/>
    <x v="36"/>
    <d v="2025-02-10T00:00:00"/>
    <x v="0"/>
    <x v="2"/>
    <x v="4"/>
    <x v="0"/>
    <x v="3"/>
    <x v="5"/>
    <x v="5"/>
    <x v="0"/>
  </r>
  <r>
    <s v="TX500907"/>
    <x v="9"/>
    <x v="2"/>
    <n v="94.1"/>
    <x v="788"/>
    <x v="36"/>
    <d v="2025-02-19T00:00:00"/>
    <x v="2"/>
    <x v="2"/>
    <x v="2"/>
    <x v="0"/>
    <x v="3"/>
    <x v="10"/>
    <x v="5"/>
    <x v="2"/>
  </r>
  <r>
    <s v="TX500908"/>
    <x v="8"/>
    <x v="2"/>
    <n v="17.899999999999999"/>
    <x v="789"/>
    <x v="36"/>
    <d v="2025-02-08T00:00:00"/>
    <x v="1"/>
    <x v="1"/>
    <x v="1"/>
    <x v="0"/>
    <x v="3"/>
    <x v="1"/>
    <x v="5"/>
    <x v="1"/>
  </r>
  <r>
    <s v="TX500909"/>
    <x v="12"/>
    <x v="3"/>
    <n v="52.7"/>
    <x v="790"/>
    <x v="36"/>
    <d v="2025-02-07T00:00:00"/>
    <x v="1"/>
    <x v="1"/>
    <x v="1"/>
    <x v="0"/>
    <x v="3"/>
    <x v="3"/>
    <x v="5"/>
    <x v="1"/>
  </r>
  <r>
    <s v="TX500910"/>
    <x v="8"/>
    <x v="0"/>
    <n v="36.799999999999997"/>
    <x v="791"/>
    <x v="36"/>
    <d v="2025-02-06T00:00:00"/>
    <x v="0"/>
    <x v="0"/>
    <x v="2"/>
    <x v="0"/>
    <x v="3"/>
    <x v="7"/>
    <x v="5"/>
    <x v="0"/>
  </r>
  <r>
    <s v="TX500911"/>
    <x v="4"/>
    <x v="0"/>
    <n v="52.5"/>
    <x v="413"/>
    <x v="36"/>
    <d v="2025-02-07T00:00:00"/>
    <x v="1"/>
    <x v="0"/>
    <x v="1"/>
    <x v="0"/>
    <x v="6"/>
    <x v="3"/>
    <x v="5"/>
    <x v="1"/>
  </r>
  <r>
    <s v="TX500912"/>
    <x v="2"/>
    <x v="1"/>
    <n v="133.80000000000001"/>
    <x v="792"/>
    <x v="36"/>
    <d v="2025-02-08T00:00:00"/>
    <x v="1"/>
    <x v="0"/>
    <x v="1"/>
    <x v="0"/>
    <x v="7"/>
    <x v="1"/>
    <x v="5"/>
    <x v="1"/>
  </r>
  <r>
    <s v="TX500913"/>
    <x v="6"/>
    <x v="1"/>
    <n v="53.2"/>
    <x v="793"/>
    <x v="36"/>
    <d v="2025-02-08T00:00:00"/>
    <x v="1"/>
    <x v="0"/>
    <x v="0"/>
    <x v="0"/>
    <x v="17"/>
    <x v="1"/>
    <x v="5"/>
    <x v="1"/>
  </r>
  <r>
    <s v="TX500914"/>
    <x v="14"/>
    <x v="13"/>
    <n v="18.7"/>
    <x v="794"/>
    <x v="36"/>
    <d v="2025-02-08T00:00:00"/>
    <x v="0"/>
    <x v="0"/>
    <x v="1"/>
    <x v="0"/>
    <x v="10"/>
    <x v="1"/>
    <x v="5"/>
    <x v="0"/>
  </r>
  <r>
    <s v="TX500915"/>
    <x v="6"/>
    <x v="12"/>
    <n v="108.8"/>
    <x v="795"/>
    <x v="36"/>
    <d v="2025-02-07T00:00:00"/>
    <x v="2"/>
    <x v="3"/>
    <x v="2"/>
    <x v="0"/>
    <x v="11"/>
    <x v="3"/>
    <x v="5"/>
    <x v="2"/>
  </r>
  <r>
    <s v="TX500916"/>
    <x v="15"/>
    <x v="9"/>
    <n v="38.5"/>
    <x v="796"/>
    <x v="36"/>
    <d v="2025-02-10T00:00:00"/>
    <x v="2"/>
    <x v="0"/>
    <x v="1"/>
    <x v="0"/>
    <x v="14"/>
    <x v="5"/>
    <x v="5"/>
    <x v="2"/>
  </r>
  <r>
    <s v="TX500917"/>
    <x v="10"/>
    <x v="7"/>
    <n v="46.5"/>
    <x v="797"/>
    <x v="36"/>
    <d v="2025-02-08T00:00:00"/>
    <x v="1"/>
    <x v="2"/>
    <x v="1"/>
    <x v="0"/>
    <x v="2"/>
    <x v="1"/>
    <x v="5"/>
    <x v="1"/>
  </r>
  <r>
    <s v="TX500918"/>
    <x v="2"/>
    <x v="2"/>
    <n v="75.8"/>
    <x v="129"/>
    <x v="36"/>
    <d v="2025-02-10T00:00:00"/>
    <x v="2"/>
    <x v="1"/>
    <x v="4"/>
    <x v="0"/>
    <x v="44"/>
    <x v="5"/>
    <x v="5"/>
    <x v="2"/>
  </r>
  <r>
    <s v="TX500919"/>
    <x v="8"/>
    <x v="0"/>
    <n v="20.9"/>
    <x v="798"/>
    <x v="36"/>
    <d v="2025-02-10T00:00:00"/>
    <x v="1"/>
    <x v="0"/>
    <x v="0"/>
    <x v="0"/>
    <x v="22"/>
    <x v="5"/>
    <x v="5"/>
    <x v="1"/>
  </r>
  <r>
    <s v="TX500920"/>
    <x v="18"/>
    <x v="2"/>
    <n v="47.4"/>
    <x v="60"/>
    <x v="36"/>
    <d v="2025-02-09T00:00:00"/>
    <x v="2"/>
    <x v="0"/>
    <x v="0"/>
    <x v="0"/>
    <x v="3"/>
    <x v="2"/>
    <x v="5"/>
    <x v="2"/>
  </r>
  <r>
    <s v="TX500921"/>
    <x v="9"/>
    <x v="1"/>
    <n v="53.8"/>
    <x v="799"/>
    <x v="36"/>
    <d v="2025-02-07T00:00:00"/>
    <x v="0"/>
    <x v="0"/>
    <x v="1"/>
    <x v="0"/>
    <x v="3"/>
    <x v="3"/>
    <x v="5"/>
    <x v="0"/>
  </r>
  <r>
    <s v="TX500922"/>
    <x v="8"/>
    <x v="2"/>
    <n v="24.6"/>
    <x v="800"/>
    <x v="36"/>
    <d v="2025-02-08T00:00:00"/>
    <x v="3"/>
    <x v="1"/>
    <x v="2"/>
    <x v="0"/>
    <x v="3"/>
    <x v="1"/>
    <x v="5"/>
    <x v="3"/>
  </r>
  <r>
    <s v="TX500923"/>
    <x v="9"/>
    <x v="2"/>
    <n v="70.900000000000006"/>
    <x v="801"/>
    <x v="36"/>
    <d v="2025-02-11T00:00:00"/>
    <x v="2"/>
    <x v="2"/>
    <x v="2"/>
    <x v="0"/>
    <x v="3"/>
    <x v="0"/>
    <x v="5"/>
    <x v="2"/>
  </r>
  <r>
    <s v="TX500924"/>
    <x v="17"/>
    <x v="2"/>
    <n v="31.9"/>
    <x v="802"/>
    <x v="36"/>
    <d v="2025-02-08T00:00:00"/>
    <x v="2"/>
    <x v="2"/>
    <x v="2"/>
    <x v="0"/>
    <x v="3"/>
    <x v="1"/>
    <x v="5"/>
    <x v="2"/>
  </r>
  <r>
    <s v="TX500925"/>
    <x v="0"/>
    <x v="1"/>
    <n v="20.399999999999999"/>
    <x v="803"/>
    <x v="36"/>
    <d v="2025-02-10T00:00:00"/>
    <x v="1"/>
    <x v="3"/>
    <x v="2"/>
    <x v="0"/>
    <x v="3"/>
    <x v="5"/>
    <x v="5"/>
    <x v="1"/>
  </r>
  <r>
    <s v="TX500926"/>
    <x v="8"/>
    <x v="1"/>
    <n v="18.600000000000001"/>
    <x v="804"/>
    <x v="36"/>
    <d v="2025-02-08T00:00:00"/>
    <x v="0"/>
    <x v="0"/>
    <x v="1"/>
    <x v="0"/>
    <x v="3"/>
    <x v="1"/>
    <x v="5"/>
    <x v="0"/>
  </r>
  <r>
    <s v="TX500927"/>
    <x v="4"/>
    <x v="9"/>
    <n v="48.3"/>
    <x v="805"/>
    <x v="36"/>
    <d v="2025-02-08T00:00:00"/>
    <x v="2"/>
    <x v="1"/>
    <x v="0"/>
    <x v="0"/>
    <x v="3"/>
    <x v="1"/>
    <x v="5"/>
    <x v="2"/>
  </r>
  <r>
    <s v="TX500928"/>
    <x v="0"/>
    <x v="12"/>
    <n v="27.7"/>
    <x v="806"/>
    <x v="36"/>
    <d v="2025-02-08T00:00:00"/>
    <x v="2"/>
    <x v="0"/>
    <x v="0"/>
    <x v="0"/>
    <x v="3"/>
    <x v="1"/>
    <x v="5"/>
    <x v="2"/>
  </r>
  <r>
    <s v="TX500929"/>
    <x v="4"/>
    <x v="9"/>
    <n v="22.5"/>
    <x v="158"/>
    <x v="36"/>
    <d v="2025-02-08T00:00:00"/>
    <x v="2"/>
    <x v="4"/>
    <x v="2"/>
    <x v="0"/>
    <x v="3"/>
    <x v="1"/>
    <x v="5"/>
    <x v="2"/>
  </r>
  <r>
    <s v="TX500930"/>
    <x v="17"/>
    <x v="9"/>
    <n v="21.6"/>
    <x v="807"/>
    <x v="36"/>
    <d v="2025-02-14T00:00:00"/>
    <x v="2"/>
    <x v="0"/>
    <x v="1"/>
    <x v="0"/>
    <x v="3"/>
    <x v="9"/>
    <x v="5"/>
    <x v="2"/>
  </r>
  <r>
    <s v="TX500931"/>
    <x v="10"/>
    <x v="3"/>
    <n v="26.3"/>
    <x v="808"/>
    <x v="36"/>
    <d v="2025-02-06T00:00:00"/>
    <x v="2"/>
    <x v="2"/>
    <x v="1"/>
    <x v="0"/>
    <x v="3"/>
    <x v="7"/>
    <x v="5"/>
    <x v="2"/>
  </r>
  <r>
    <s v="TX500932"/>
    <x v="6"/>
    <x v="3"/>
    <n v="103"/>
    <x v="809"/>
    <x v="37"/>
    <d v="2025-02-08T00:00:00"/>
    <x v="1"/>
    <x v="0"/>
    <x v="2"/>
    <x v="0"/>
    <x v="6"/>
    <x v="3"/>
    <x v="5"/>
    <x v="1"/>
  </r>
  <r>
    <s v="TX500933"/>
    <x v="5"/>
    <x v="20"/>
    <n v="46.6"/>
    <x v="810"/>
    <x v="37"/>
    <d v="2025-02-08T00:00:00"/>
    <x v="2"/>
    <x v="0"/>
    <x v="1"/>
    <x v="0"/>
    <x v="6"/>
    <x v="3"/>
    <x v="5"/>
    <x v="2"/>
  </r>
  <r>
    <s v="TX500934"/>
    <x v="0"/>
    <x v="9"/>
    <n v="32.200000000000003"/>
    <x v="811"/>
    <x v="37"/>
    <d v="2025-02-10T00:00:00"/>
    <x v="2"/>
    <x v="0"/>
    <x v="2"/>
    <x v="0"/>
    <x v="36"/>
    <x v="2"/>
    <x v="5"/>
    <x v="2"/>
  </r>
  <r>
    <s v="TX500935"/>
    <x v="8"/>
    <x v="2"/>
    <n v="22"/>
    <x v="812"/>
    <x v="37"/>
    <d v="2025-02-14T00:00:00"/>
    <x v="1"/>
    <x v="1"/>
    <x v="0"/>
    <x v="0"/>
    <x v="7"/>
    <x v="6"/>
    <x v="5"/>
    <x v="1"/>
  </r>
  <r>
    <s v="TX500936"/>
    <x v="0"/>
    <x v="1"/>
    <n v="25.2"/>
    <x v="813"/>
    <x v="37"/>
    <d v="2025-02-11T00:00:00"/>
    <x v="2"/>
    <x v="0"/>
    <x v="0"/>
    <x v="0"/>
    <x v="7"/>
    <x v="5"/>
    <x v="5"/>
    <x v="2"/>
  </r>
  <r>
    <s v="TX500937"/>
    <x v="1"/>
    <x v="13"/>
    <n v="68.7"/>
    <x v="814"/>
    <x v="37"/>
    <d v="2025-02-09T00:00:00"/>
    <x v="1"/>
    <x v="4"/>
    <x v="0"/>
    <x v="0"/>
    <x v="8"/>
    <x v="1"/>
    <x v="5"/>
    <x v="1"/>
  </r>
  <r>
    <s v="TX500938"/>
    <x v="0"/>
    <x v="2"/>
    <n v="22.2"/>
    <x v="815"/>
    <x v="37"/>
    <d v="2025-02-10T00:00:00"/>
    <x v="1"/>
    <x v="2"/>
    <x v="2"/>
    <x v="0"/>
    <x v="8"/>
    <x v="2"/>
    <x v="5"/>
    <x v="1"/>
  </r>
  <r>
    <s v="TX500939"/>
    <x v="1"/>
    <x v="3"/>
    <n v="36"/>
    <x v="816"/>
    <x v="37"/>
    <d v="2025-02-08T00:00:00"/>
    <x v="2"/>
    <x v="1"/>
    <x v="0"/>
    <x v="0"/>
    <x v="8"/>
    <x v="3"/>
    <x v="5"/>
    <x v="2"/>
  </r>
  <r>
    <s v="TX500940"/>
    <x v="18"/>
    <x v="0"/>
    <n v="50.6"/>
    <x v="578"/>
    <x v="37"/>
    <d v="2025-02-09T00:00:00"/>
    <x v="2"/>
    <x v="0"/>
    <x v="1"/>
    <x v="0"/>
    <x v="8"/>
    <x v="1"/>
    <x v="5"/>
    <x v="2"/>
  </r>
  <r>
    <s v="TX500941"/>
    <x v="15"/>
    <x v="1"/>
    <n v="44.9"/>
    <x v="817"/>
    <x v="37"/>
    <d v="2025-02-09T00:00:00"/>
    <x v="1"/>
    <x v="0"/>
    <x v="1"/>
    <x v="0"/>
    <x v="8"/>
    <x v="1"/>
    <x v="5"/>
    <x v="1"/>
  </r>
  <r>
    <s v="TX500942"/>
    <x v="6"/>
    <x v="2"/>
    <n v="71.599999999999994"/>
    <x v="818"/>
    <x v="37"/>
    <d v="2025-02-11T00:00:00"/>
    <x v="1"/>
    <x v="1"/>
    <x v="2"/>
    <x v="0"/>
    <x v="10"/>
    <x v="5"/>
    <x v="5"/>
    <x v="1"/>
  </r>
  <r>
    <s v="TX500943"/>
    <x v="6"/>
    <x v="13"/>
    <n v="51.5"/>
    <x v="15"/>
    <x v="37"/>
    <d v="2025-02-09T00:00:00"/>
    <x v="0"/>
    <x v="4"/>
    <x v="0"/>
    <x v="0"/>
    <x v="11"/>
    <x v="1"/>
    <x v="5"/>
    <x v="0"/>
  </r>
  <r>
    <s v="TX500944"/>
    <x v="7"/>
    <x v="9"/>
    <n v="55.5"/>
    <x v="819"/>
    <x v="37"/>
    <d v="2025-02-08T00:00:00"/>
    <x v="1"/>
    <x v="1"/>
    <x v="1"/>
    <x v="0"/>
    <x v="11"/>
    <x v="3"/>
    <x v="5"/>
    <x v="1"/>
  </r>
  <r>
    <s v="TX500945"/>
    <x v="6"/>
    <x v="0"/>
    <n v="51.7"/>
    <x v="733"/>
    <x v="37"/>
    <d v="2025-02-21T00:00:00"/>
    <x v="1"/>
    <x v="2"/>
    <x v="0"/>
    <x v="0"/>
    <x v="19"/>
    <x v="12"/>
    <x v="5"/>
    <x v="1"/>
  </r>
  <r>
    <s v="TX500946"/>
    <x v="8"/>
    <x v="38"/>
    <n v="45.5"/>
    <x v="820"/>
    <x v="37"/>
    <d v="2025-02-08T00:00:00"/>
    <x v="2"/>
    <x v="3"/>
    <x v="2"/>
    <x v="0"/>
    <x v="19"/>
    <x v="3"/>
    <x v="5"/>
    <x v="2"/>
  </r>
  <r>
    <s v="TX500947"/>
    <x v="8"/>
    <x v="1"/>
    <n v="33.799999999999997"/>
    <x v="821"/>
    <x v="37"/>
    <d v="2025-02-13T00:00:00"/>
    <x v="2"/>
    <x v="3"/>
    <x v="0"/>
    <x v="0"/>
    <x v="20"/>
    <x v="4"/>
    <x v="5"/>
    <x v="2"/>
  </r>
  <r>
    <s v="TX500948"/>
    <x v="3"/>
    <x v="2"/>
    <n v="76.5"/>
    <x v="822"/>
    <x v="37"/>
    <d v="2025-02-08T00:00:00"/>
    <x v="2"/>
    <x v="0"/>
    <x v="1"/>
    <x v="0"/>
    <x v="21"/>
    <x v="3"/>
    <x v="5"/>
    <x v="2"/>
  </r>
  <r>
    <s v="TX500949"/>
    <x v="9"/>
    <x v="2"/>
    <n v="42.6"/>
    <x v="823"/>
    <x v="37"/>
    <d v="2025-02-13T00:00:00"/>
    <x v="2"/>
    <x v="2"/>
    <x v="2"/>
    <x v="0"/>
    <x v="2"/>
    <x v="4"/>
    <x v="5"/>
    <x v="2"/>
  </r>
  <r>
    <s v="TX500950"/>
    <x v="6"/>
    <x v="2"/>
    <n v="44.1"/>
    <x v="431"/>
    <x v="37"/>
    <d v="2025-02-09T00:00:00"/>
    <x v="2"/>
    <x v="1"/>
    <x v="1"/>
    <x v="0"/>
    <x v="22"/>
    <x v="1"/>
    <x v="5"/>
    <x v="2"/>
  </r>
  <r>
    <s v="TX500951"/>
    <x v="8"/>
    <x v="1"/>
    <n v="40.9"/>
    <x v="673"/>
    <x v="37"/>
    <d v="2025-02-11T00:00:00"/>
    <x v="1"/>
    <x v="0"/>
    <x v="0"/>
    <x v="0"/>
    <x v="3"/>
    <x v="5"/>
    <x v="5"/>
    <x v="1"/>
  </r>
  <r>
    <s v="TX500952"/>
    <x v="9"/>
    <x v="2"/>
    <n v="49.1"/>
    <x v="824"/>
    <x v="37"/>
    <d v="2025-02-11T00:00:00"/>
    <x v="2"/>
    <x v="3"/>
    <x v="1"/>
    <x v="0"/>
    <x v="3"/>
    <x v="5"/>
    <x v="5"/>
    <x v="2"/>
  </r>
  <r>
    <s v="TX500953"/>
    <x v="18"/>
    <x v="0"/>
    <n v="85.3"/>
    <x v="825"/>
    <x v="37"/>
    <d v="2025-02-11T00:00:00"/>
    <x v="1"/>
    <x v="1"/>
    <x v="1"/>
    <x v="0"/>
    <x v="3"/>
    <x v="5"/>
    <x v="5"/>
    <x v="1"/>
  </r>
  <r>
    <s v="TX500954"/>
    <x v="6"/>
    <x v="12"/>
    <n v="43.1"/>
    <x v="826"/>
    <x v="38"/>
    <d v="2025-02-11T00:00:00"/>
    <x v="1"/>
    <x v="0"/>
    <x v="0"/>
    <x v="0"/>
    <x v="3"/>
    <x v="2"/>
    <x v="5"/>
    <x v="1"/>
  </r>
  <r>
    <s v="TX500955"/>
    <x v="4"/>
    <x v="12"/>
    <n v="46.2"/>
    <x v="827"/>
    <x v="38"/>
    <d v="2025-02-09T00:00:00"/>
    <x v="1"/>
    <x v="2"/>
    <x v="0"/>
    <x v="0"/>
    <x v="3"/>
    <x v="3"/>
    <x v="5"/>
    <x v="1"/>
  </r>
  <r>
    <s v="TX500956"/>
    <x v="1"/>
    <x v="0"/>
    <n v="74.400000000000006"/>
    <x v="610"/>
    <x v="38"/>
    <d v="2025-02-10T00:00:00"/>
    <x v="1"/>
    <x v="4"/>
    <x v="2"/>
    <x v="0"/>
    <x v="3"/>
    <x v="1"/>
    <x v="5"/>
    <x v="1"/>
  </r>
  <r>
    <s v="TX500957"/>
    <x v="17"/>
    <x v="1"/>
    <n v="51.2"/>
    <x v="298"/>
    <x v="38"/>
    <d v="2025-02-09T00:00:00"/>
    <x v="1"/>
    <x v="1"/>
    <x v="0"/>
    <x v="0"/>
    <x v="3"/>
    <x v="3"/>
    <x v="5"/>
    <x v="1"/>
  </r>
  <r>
    <s v="TX500958"/>
    <x v="14"/>
    <x v="12"/>
    <n v="11.8"/>
    <x v="828"/>
    <x v="38"/>
    <d v="2025-02-08T00:00:00"/>
    <x v="1"/>
    <x v="2"/>
    <x v="0"/>
    <x v="0"/>
    <x v="3"/>
    <x v="7"/>
    <x v="5"/>
    <x v="1"/>
  </r>
  <r>
    <s v="TX500959"/>
    <x v="10"/>
    <x v="6"/>
    <n v="40.799999999999997"/>
    <x v="829"/>
    <x v="38"/>
    <d v="2025-02-09T00:00:00"/>
    <x v="2"/>
    <x v="3"/>
    <x v="2"/>
    <x v="0"/>
    <x v="3"/>
    <x v="3"/>
    <x v="5"/>
    <x v="2"/>
  </r>
  <r>
    <s v="TX500960"/>
    <x v="8"/>
    <x v="0"/>
    <n v="24.7"/>
    <x v="830"/>
    <x v="38"/>
    <d v="2025-02-10T00:00:00"/>
    <x v="2"/>
    <x v="2"/>
    <x v="1"/>
    <x v="0"/>
    <x v="3"/>
    <x v="1"/>
    <x v="5"/>
    <x v="2"/>
  </r>
  <r>
    <s v="TX500961"/>
    <x v="8"/>
    <x v="3"/>
    <n v="22.1"/>
    <x v="831"/>
    <x v="38"/>
    <d v="2025-02-08T00:00:00"/>
    <x v="2"/>
    <x v="2"/>
    <x v="4"/>
    <x v="0"/>
    <x v="3"/>
    <x v="7"/>
    <x v="5"/>
    <x v="2"/>
  </r>
  <r>
    <s v="TX500962"/>
    <x v="8"/>
    <x v="0"/>
    <n v="18.100000000000001"/>
    <x v="832"/>
    <x v="38"/>
    <d v="2025-02-12T00:00:00"/>
    <x v="1"/>
    <x v="3"/>
    <x v="2"/>
    <x v="0"/>
    <x v="3"/>
    <x v="5"/>
    <x v="5"/>
    <x v="1"/>
  </r>
  <r>
    <s v="TX500963"/>
    <x v="17"/>
    <x v="1"/>
    <n v="58.8"/>
    <x v="833"/>
    <x v="38"/>
    <d v="2025-02-11T00:00:00"/>
    <x v="2"/>
    <x v="0"/>
    <x v="0"/>
    <x v="0"/>
    <x v="25"/>
    <x v="2"/>
    <x v="5"/>
    <x v="2"/>
  </r>
  <r>
    <s v="TX500964"/>
    <x v="18"/>
    <x v="1"/>
    <n v="30.8"/>
    <x v="834"/>
    <x v="38"/>
    <d v="2025-02-09T00:00:00"/>
    <x v="2"/>
    <x v="0"/>
    <x v="0"/>
    <x v="0"/>
    <x v="6"/>
    <x v="3"/>
    <x v="5"/>
    <x v="2"/>
  </r>
  <r>
    <s v="TX500965"/>
    <x v="0"/>
    <x v="1"/>
    <n v="12"/>
    <x v="835"/>
    <x v="38"/>
    <d v="2025-02-12T00:00:00"/>
    <x v="2"/>
    <x v="0"/>
    <x v="0"/>
    <x v="0"/>
    <x v="6"/>
    <x v="5"/>
    <x v="5"/>
    <x v="2"/>
  </r>
  <r>
    <s v="TX500966"/>
    <x v="0"/>
    <x v="12"/>
    <n v="13.6"/>
    <x v="630"/>
    <x v="38"/>
    <d v="2025-02-11T00:00:00"/>
    <x v="1"/>
    <x v="2"/>
    <x v="0"/>
    <x v="0"/>
    <x v="6"/>
    <x v="2"/>
    <x v="5"/>
    <x v="1"/>
  </r>
  <r>
    <s v="TX500967"/>
    <x v="0"/>
    <x v="0"/>
    <n v="17.899999999999999"/>
    <x v="836"/>
    <x v="38"/>
    <d v="2025-02-09T00:00:00"/>
    <x v="1"/>
    <x v="3"/>
    <x v="0"/>
    <x v="0"/>
    <x v="6"/>
    <x v="3"/>
    <x v="5"/>
    <x v="1"/>
  </r>
  <r>
    <s v="TX500968"/>
    <x v="9"/>
    <x v="1"/>
    <n v="38.6"/>
    <x v="837"/>
    <x v="38"/>
    <d v="2025-02-12T00:00:00"/>
    <x v="2"/>
    <x v="4"/>
    <x v="0"/>
    <x v="0"/>
    <x v="7"/>
    <x v="5"/>
    <x v="5"/>
    <x v="2"/>
  </r>
  <r>
    <s v="TX500969"/>
    <x v="5"/>
    <x v="9"/>
    <n v="32.700000000000003"/>
    <x v="838"/>
    <x v="38"/>
    <d v="2025-02-09T00:00:00"/>
    <x v="1"/>
    <x v="2"/>
    <x v="2"/>
    <x v="0"/>
    <x v="8"/>
    <x v="3"/>
    <x v="5"/>
    <x v="1"/>
  </r>
  <r>
    <s v="TX500970"/>
    <x v="3"/>
    <x v="1"/>
    <n v="111.4"/>
    <x v="839"/>
    <x v="38"/>
    <d v="2025-02-09T00:00:00"/>
    <x v="2"/>
    <x v="1"/>
    <x v="0"/>
    <x v="0"/>
    <x v="8"/>
    <x v="3"/>
    <x v="5"/>
    <x v="2"/>
  </r>
  <r>
    <s v="TX500971"/>
    <x v="2"/>
    <x v="13"/>
    <n v="80.3"/>
    <x v="840"/>
    <x v="38"/>
    <d v="2025-02-10T00:00:00"/>
    <x v="2"/>
    <x v="1"/>
    <x v="0"/>
    <x v="0"/>
    <x v="8"/>
    <x v="1"/>
    <x v="5"/>
    <x v="2"/>
  </r>
  <r>
    <s v="TX500972"/>
    <x v="6"/>
    <x v="1"/>
    <n v="58.9"/>
    <x v="841"/>
    <x v="38"/>
    <d v="2025-02-09T00:00:00"/>
    <x v="1"/>
    <x v="1"/>
    <x v="0"/>
    <x v="0"/>
    <x v="8"/>
    <x v="3"/>
    <x v="5"/>
    <x v="1"/>
  </r>
  <r>
    <s v="TX500973"/>
    <x v="6"/>
    <x v="2"/>
    <n v="51.9"/>
    <x v="515"/>
    <x v="38"/>
    <d v="2025-02-10T00:00:00"/>
    <x v="2"/>
    <x v="1"/>
    <x v="4"/>
    <x v="0"/>
    <x v="8"/>
    <x v="1"/>
    <x v="5"/>
    <x v="2"/>
  </r>
  <r>
    <s v="TX500974"/>
    <x v="2"/>
    <x v="2"/>
    <n v="50.3"/>
    <x v="842"/>
    <x v="38"/>
    <d v="2025-02-09T00:00:00"/>
    <x v="1"/>
    <x v="2"/>
    <x v="0"/>
    <x v="0"/>
    <x v="17"/>
    <x v="3"/>
    <x v="5"/>
    <x v="1"/>
  </r>
  <r>
    <s v="TX500975"/>
    <x v="11"/>
    <x v="13"/>
    <n v="45"/>
    <x v="843"/>
    <x v="38"/>
    <d v="2025-02-14T00:00:00"/>
    <x v="2"/>
    <x v="3"/>
    <x v="0"/>
    <x v="0"/>
    <x v="9"/>
    <x v="4"/>
    <x v="5"/>
    <x v="2"/>
  </r>
  <r>
    <s v="TX500976"/>
    <x v="10"/>
    <x v="13"/>
    <n v="44.7"/>
    <x v="844"/>
    <x v="38"/>
    <d v="2025-02-10T00:00:00"/>
    <x v="2"/>
    <x v="2"/>
    <x v="0"/>
    <x v="0"/>
    <x v="11"/>
    <x v="1"/>
    <x v="5"/>
    <x v="2"/>
  </r>
  <r>
    <s v="TX500977"/>
    <x v="18"/>
    <x v="20"/>
    <n v="33"/>
    <x v="845"/>
    <x v="38"/>
    <d v="2025-02-09T00:00:00"/>
    <x v="2"/>
    <x v="2"/>
    <x v="0"/>
    <x v="0"/>
    <x v="11"/>
    <x v="3"/>
    <x v="5"/>
    <x v="2"/>
  </r>
  <r>
    <s v="TX500978"/>
    <x v="1"/>
    <x v="9"/>
    <n v="44.9"/>
    <x v="846"/>
    <x v="38"/>
    <d v="2025-02-11T00:00:00"/>
    <x v="2"/>
    <x v="2"/>
    <x v="2"/>
    <x v="0"/>
    <x v="18"/>
    <x v="2"/>
    <x v="5"/>
    <x v="2"/>
  </r>
  <r>
    <s v="TX500979"/>
    <x v="10"/>
    <x v="1"/>
    <n v="34.6"/>
    <x v="564"/>
    <x v="38"/>
    <d v="2025-02-12T00:00:00"/>
    <x v="2"/>
    <x v="0"/>
    <x v="1"/>
    <x v="0"/>
    <x v="19"/>
    <x v="5"/>
    <x v="5"/>
    <x v="2"/>
  </r>
  <r>
    <s v="TX500980"/>
    <x v="7"/>
    <x v="3"/>
    <n v="47.1"/>
    <x v="847"/>
    <x v="38"/>
    <d v="2025-02-13T00:00:00"/>
    <x v="2"/>
    <x v="0"/>
    <x v="0"/>
    <x v="0"/>
    <x v="13"/>
    <x v="0"/>
    <x v="5"/>
    <x v="2"/>
  </r>
  <r>
    <s v="TX500981"/>
    <x v="4"/>
    <x v="9"/>
    <n v="26.1"/>
    <x v="848"/>
    <x v="38"/>
    <d v="2025-02-13T00:00:00"/>
    <x v="1"/>
    <x v="0"/>
    <x v="2"/>
    <x v="0"/>
    <x v="21"/>
    <x v="0"/>
    <x v="5"/>
    <x v="1"/>
  </r>
  <r>
    <s v="TX500982"/>
    <x v="12"/>
    <x v="9"/>
    <n v="66.8"/>
    <x v="849"/>
    <x v="38"/>
    <d v="2025-02-11T00:00:00"/>
    <x v="2"/>
    <x v="0"/>
    <x v="0"/>
    <x v="0"/>
    <x v="21"/>
    <x v="2"/>
    <x v="5"/>
    <x v="2"/>
  </r>
  <r>
    <s v="TX500983"/>
    <x v="2"/>
    <x v="1"/>
    <n v="167.9"/>
    <x v="850"/>
    <x v="38"/>
    <d v="2025-02-09T00:00:00"/>
    <x v="2"/>
    <x v="3"/>
    <x v="2"/>
    <x v="0"/>
    <x v="21"/>
    <x v="3"/>
    <x v="5"/>
    <x v="2"/>
  </r>
  <r>
    <s v="TX500984"/>
    <x v="10"/>
    <x v="11"/>
    <n v="34.6"/>
    <x v="851"/>
    <x v="38"/>
    <d v="2025-02-09T00:00:00"/>
    <x v="2"/>
    <x v="2"/>
    <x v="1"/>
    <x v="0"/>
    <x v="21"/>
    <x v="3"/>
    <x v="5"/>
    <x v="2"/>
  </r>
  <r>
    <s v="TX500985"/>
    <x v="8"/>
    <x v="2"/>
    <n v="35.1"/>
    <x v="852"/>
    <x v="39"/>
    <d v="2025-02-13T00:00:00"/>
    <x v="1"/>
    <x v="4"/>
    <x v="2"/>
    <x v="0"/>
    <x v="1"/>
    <x v="5"/>
    <x v="6"/>
    <x v="1"/>
  </r>
  <r>
    <s v="TX500986"/>
    <x v="6"/>
    <x v="12"/>
    <n v="104.5"/>
    <x v="378"/>
    <x v="39"/>
    <d v="2025-02-10T00:00:00"/>
    <x v="1"/>
    <x v="1"/>
    <x v="1"/>
    <x v="0"/>
    <x v="1"/>
    <x v="3"/>
    <x v="6"/>
    <x v="1"/>
  </r>
  <r>
    <s v="TX500987"/>
    <x v="8"/>
    <x v="0"/>
    <n v="37.9"/>
    <x v="853"/>
    <x v="39"/>
    <d v="2025-02-11T00:00:00"/>
    <x v="0"/>
    <x v="1"/>
    <x v="2"/>
    <x v="0"/>
    <x v="2"/>
    <x v="1"/>
    <x v="6"/>
    <x v="0"/>
  </r>
  <r>
    <s v="TX500988"/>
    <x v="4"/>
    <x v="2"/>
    <n v="25.5"/>
    <x v="514"/>
    <x v="39"/>
    <d v="2025-02-12T00:00:00"/>
    <x v="1"/>
    <x v="3"/>
    <x v="0"/>
    <x v="0"/>
    <x v="2"/>
    <x v="2"/>
    <x v="6"/>
    <x v="1"/>
  </r>
  <r>
    <s v="TX500989"/>
    <x v="0"/>
    <x v="2"/>
    <n v="32"/>
    <x v="854"/>
    <x v="39"/>
    <d v="2025-02-13T00:00:00"/>
    <x v="2"/>
    <x v="1"/>
    <x v="0"/>
    <x v="0"/>
    <x v="22"/>
    <x v="5"/>
    <x v="6"/>
    <x v="2"/>
  </r>
  <r>
    <s v="TX500990"/>
    <x v="1"/>
    <x v="0"/>
    <n v="47.1"/>
    <x v="392"/>
    <x v="39"/>
    <d v="2025-02-10T00:00:00"/>
    <x v="2"/>
    <x v="0"/>
    <x v="0"/>
    <x v="0"/>
    <x v="34"/>
    <x v="3"/>
    <x v="6"/>
    <x v="2"/>
  </r>
  <r>
    <s v="TX500991"/>
    <x v="6"/>
    <x v="1"/>
    <n v="50.6"/>
    <x v="855"/>
    <x v="39"/>
    <d v="2025-02-15T00:00:00"/>
    <x v="0"/>
    <x v="0"/>
    <x v="0"/>
    <x v="0"/>
    <x v="3"/>
    <x v="4"/>
    <x v="6"/>
    <x v="0"/>
  </r>
  <r>
    <s v="TX500992"/>
    <x v="6"/>
    <x v="9"/>
    <n v="81.7"/>
    <x v="856"/>
    <x v="39"/>
    <d v="2025-02-10T00:00:00"/>
    <x v="2"/>
    <x v="1"/>
    <x v="2"/>
    <x v="0"/>
    <x v="3"/>
    <x v="3"/>
    <x v="6"/>
    <x v="2"/>
  </r>
  <r>
    <s v="TX500993"/>
    <x v="5"/>
    <x v="1"/>
    <n v="50.7"/>
    <x v="857"/>
    <x v="39"/>
    <d v="2025-02-10T00:00:00"/>
    <x v="3"/>
    <x v="2"/>
    <x v="2"/>
    <x v="0"/>
    <x v="3"/>
    <x v="3"/>
    <x v="6"/>
    <x v="3"/>
  </r>
  <r>
    <s v="TX500994"/>
    <x v="2"/>
    <x v="10"/>
    <n v="67.3"/>
    <x v="858"/>
    <x v="39"/>
    <d v="2025-02-13T00:00:00"/>
    <x v="2"/>
    <x v="2"/>
    <x v="0"/>
    <x v="0"/>
    <x v="3"/>
    <x v="5"/>
    <x v="6"/>
    <x v="2"/>
  </r>
  <r>
    <s v="TX500995"/>
    <x v="2"/>
    <x v="12"/>
    <n v="64.8"/>
    <x v="629"/>
    <x v="39"/>
    <d v="2025-02-12T00:00:00"/>
    <x v="2"/>
    <x v="3"/>
    <x v="0"/>
    <x v="0"/>
    <x v="3"/>
    <x v="2"/>
    <x v="6"/>
    <x v="2"/>
  </r>
  <r>
    <s v="TX500996"/>
    <x v="5"/>
    <x v="32"/>
    <n v="61.3"/>
    <x v="859"/>
    <x v="39"/>
    <d v="2025-02-10T00:00:00"/>
    <x v="2"/>
    <x v="0"/>
    <x v="2"/>
    <x v="0"/>
    <x v="3"/>
    <x v="3"/>
    <x v="6"/>
    <x v="2"/>
  </r>
  <r>
    <s v="TX500997"/>
    <x v="14"/>
    <x v="0"/>
    <n v="32.9"/>
    <x v="860"/>
    <x v="39"/>
    <d v="2025-02-12T00:00:00"/>
    <x v="2"/>
    <x v="4"/>
    <x v="0"/>
    <x v="0"/>
    <x v="3"/>
    <x v="2"/>
    <x v="6"/>
    <x v="2"/>
  </r>
  <r>
    <s v="TX500998"/>
    <x v="6"/>
    <x v="1"/>
    <n v="100.8"/>
    <x v="861"/>
    <x v="39"/>
    <d v="2025-02-12T00:00:00"/>
    <x v="2"/>
    <x v="0"/>
    <x v="0"/>
    <x v="0"/>
    <x v="3"/>
    <x v="2"/>
    <x v="6"/>
    <x v="2"/>
  </r>
  <r>
    <s v="TX500999"/>
    <x v="8"/>
    <x v="12"/>
    <n v="25.1"/>
    <x v="862"/>
    <x v="39"/>
    <d v="2025-02-11T00:00:00"/>
    <x v="2"/>
    <x v="1"/>
    <x v="0"/>
    <x v="0"/>
    <x v="3"/>
    <x v="1"/>
    <x v="6"/>
    <x v="2"/>
  </r>
  <r>
    <s v="TX501000"/>
    <x v="17"/>
    <x v="0"/>
    <n v="48.5"/>
    <x v="319"/>
    <x v="39"/>
    <d v="2025-02-10T00:00:00"/>
    <x v="2"/>
    <x v="0"/>
    <x v="1"/>
    <x v="0"/>
    <x v="3"/>
    <x v="3"/>
    <x v="6"/>
    <x v="2"/>
  </r>
  <r>
    <s v="TX501001"/>
    <x v="7"/>
    <x v="1"/>
    <n v="33.6"/>
    <x v="863"/>
    <x v="39"/>
    <d v="2025-02-13T00:00:00"/>
    <x v="2"/>
    <x v="2"/>
    <x v="2"/>
    <x v="0"/>
    <x v="3"/>
    <x v="5"/>
    <x v="6"/>
    <x v="2"/>
  </r>
  <r>
    <s v="TX501002"/>
    <x v="8"/>
    <x v="0"/>
    <n v="39.299999999999997"/>
    <x v="864"/>
    <x v="39"/>
    <d v="2025-02-20T00:00:00"/>
    <x v="2"/>
    <x v="1"/>
    <x v="1"/>
    <x v="0"/>
    <x v="49"/>
    <x v="11"/>
    <x v="6"/>
    <x v="2"/>
  </r>
  <r>
    <s v="TX501003"/>
    <x v="4"/>
    <x v="7"/>
    <n v="48.8"/>
    <x v="865"/>
    <x v="39"/>
    <d v="2025-02-11T00:00:00"/>
    <x v="2"/>
    <x v="3"/>
    <x v="1"/>
    <x v="0"/>
    <x v="25"/>
    <x v="1"/>
    <x v="6"/>
    <x v="2"/>
  </r>
  <r>
    <s v="TX501004"/>
    <x v="6"/>
    <x v="8"/>
    <n v="72.8"/>
    <x v="866"/>
    <x v="39"/>
    <d v="2025-02-11T00:00:00"/>
    <x v="1"/>
    <x v="1"/>
    <x v="2"/>
    <x v="0"/>
    <x v="5"/>
    <x v="1"/>
    <x v="6"/>
    <x v="1"/>
  </r>
  <r>
    <s v="TX501005"/>
    <x v="10"/>
    <x v="8"/>
    <n v="46.2"/>
    <x v="867"/>
    <x v="39"/>
    <d v="2025-02-10T00:00:00"/>
    <x v="1"/>
    <x v="3"/>
    <x v="4"/>
    <x v="0"/>
    <x v="5"/>
    <x v="3"/>
    <x v="6"/>
    <x v="1"/>
  </r>
  <r>
    <s v="TX501006"/>
    <x v="4"/>
    <x v="1"/>
    <n v="20.7"/>
    <x v="50"/>
    <x v="39"/>
    <d v="2025-02-10T00:00:00"/>
    <x v="2"/>
    <x v="2"/>
    <x v="3"/>
    <x v="0"/>
    <x v="6"/>
    <x v="3"/>
    <x v="6"/>
    <x v="2"/>
  </r>
  <r>
    <s v="TX501007"/>
    <x v="0"/>
    <x v="0"/>
    <n v="35.700000000000003"/>
    <x v="519"/>
    <x v="39"/>
    <d v="2025-02-11T00:00:00"/>
    <x v="2"/>
    <x v="3"/>
    <x v="0"/>
    <x v="0"/>
    <x v="6"/>
    <x v="1"/>
    <x v="6"/>
    <x v="2"/>
  </r>
  <r>
    <s v="TX501008"/>
    <x v="2"/>
    <x v="27"/>
    <n v="166.2"/>
    <x v="868"/>
    <x v="39"/>
    <d v="2025-02-11T00:00:00"/>
    <x v="0"/>
    <x v="2"/>
    <x v="0"/>
    <x v="0"/>
    <x v="7"/>
    <x v="1"/>
    <x v="6"/>
    <x v="0"/>
  </r>
  <r>
    <s v="TX501009"/>
    <x v="6"/>
    <x v="12"/>
    <n v="85.8"/>
    <x v="869"/>
    <x v="39"/>
    <d v="2025-02-10T00:00:00"/>
    <x v="2"/>
    <x v="1"/>
    <x v="1"/>
    <x v="0"/>
    <x v="7"/>
    <x v="3"/>
    <x v="6"/>
    <x v="2"/>
  </r>
  <r>
    <s v="TX501010"/>
    <x v="8"/>
    <x v="2"/>
    <n v="26"/>
    <x v="292"/>
    <x v="39"/>
    <d v="2025-02-11T00:00:00"/>
    <x v="3"/>
    <x v="1"/>
    <x v="0"/>
    <x v="0"/>
    <x v="7"/>
    <x v="1"/>
    <x v="6"/>
    <x v="3"/>
  </r>
  <r>
    <s v="TX501011"/>
    <x v="2"/>
    <x v="15"/>
    <n v="116.6"/>
    <x v="870"/>
    <x v="39"/>
    <d v="2025-02-12T00:00:00"/>
    <x v="2"/>
    <x v="0"/>
    <x v="0"/>
    <x v="0"/>
    <x v="8"/>
    <x v="2"/>
    <x v="6"/>
    <x v="2"/>
  </r>
  <r>
    <s v="TX501012"/>
    <x v="9"/>
    <x v="3"/>
    <n v="53.9"/>
    <x v="871"/>
    <x v="39"/>
    <d v="2025-02-12T00:00:00"/>
    <x v="3"/>
    <x v="0"/>
    <x v="2"/>
    <x v="0"/>
    <x v="8"/>
    <x v="2"/>
    <x v="6"/>
    <x v="3"/>
  </r>
  <r>
    <s v="TX501013"/>
    <x v="12"/>
    <x v="9"/>
    <n v="72.3"/>
    <x v="785"/>
    <x v="39"/>
    <d v="2025-02-11T00:00:00"/>
    <x v="0"/>
    <x v="2"/>
    <x v="2"/>
    <x v="0"/>
    <x v="8"/>
    <x v="1"/>
    <x v="6"/>
    <x v="0"/>
  </r>
  <r>
    <s v="TX501014"/>
    <x v="5"/>
    <x v="1"/>
    <n v="31.4"/>
    <x v="143"/>
    <x v="39"/>
    <d v="2025-02-11T00:00:00"/>
    <x v="2"/>
    <x v="0"/>
    <x v="0"/>
    <x v="0"/>
    <x v="8"/>
    <x v="1"/>
    <x v="6"/>
    <x v="2"/>
  </r>
  <r>
    <s v="TX501015"/>
    <x v="13"/>
    <x v="1"/>
    <n v="53.1"/>
    <x v="872"/>
    <x v="39"/>
    <d v="2025-02-12T00:00:00"/>
    <x v="1"/>
    <x v="1"/>
    <x v="0"/>
    <x v="0"/>
    <x v="8"/>
    <x v="2"/>
    <x v="6"/>
    <x v="1"/>
  </r>
  <r>
    <s v="TX501016"/>
    <x v="2"/>
    <x v="12"/>
    <n v="56.2"/>
    <x v="873"/>
    <x v="39"/>
    <d v="2025-02-10T00:00:00"/>
    <x v="2"/>
    <x v="0"/>
    <x v="0"/>
    <x v="0"/>
    <x v="8"/>
    <x v="3"/>
    <x v="6"/>
    <x v="2"/>
  </r>
  <r>
    <s v="TX501017"/>
    <x v="1"/>
    <x v="7"/>
    <n v="77.3"/>
    <x v="874"/>
    <x v="39"/>
    <d v="2025-02-10T00:00:00"/>
    <x v="2"/>
    <x v="2"/>
    <x v="0"/>
    <x v="0"/>
    <x v="11"/>
    <x v="3"/>
    <x v="6"/>
    <x v="2"/>
  </r>
  <r>
    <s v="TX501018"/>
    <x v="6"/>
    <x v="15"/>
    <n v="57.8"/>
    <x v="875"/>
    <x v="39"/>
    <d v="2025-02-10T00:00:00"/>
    <x v="0"/>
    <x v="0"/>
    <x v="0"/>
    <x v="0"/>
    <x v="53"/>
    <x v="3"/>
    <x v="6"/>
    <x v="0"/>
  </r>
  <r>
    <s v="TX501019"/>
    <x v="12"/>
    <x v="20"/>
    <n v="42.1"/>
    <x v="876"/>
    <x v="39"/>
    <d v="2025-02-11T00:00:00"/>
    <x v="2"/>
    <x v="1"/>
    <x v="1"/>
    <x v="0"/>
    <x v="53"/>
    <x v="1"/>
    <x v="6"/>
    <x v="2"/>
  </r>
  <r>
    <s v="TX501020"/>
    <x v="8"/>
    <x v="11"/>
    <n v="22.8"/>
    <x v="877"/>
    <x v="39"/>
    <d v="2025-02-13T00:00:00"/>
    <x v="1"/>
    <x v="2"/>
    <x v="2"/>
    <x v="0"/>
    <x v="19"/>
    <x v="5"/>
    <x v="6"/>
    <x v="1"/>
  </r>
  <r>
    <s v="TX501021"/>
    <x v="2"/>
    <x v="2"/>
    <n v="171.1"/>
    <x v="878"/>
    <x v="40"/>
    <d v="2025-02-17T00:00:00"/>
    <x v="2"/>
    <x v="2"/>
    <x v="1"/>
    <x v="0"/>
    <x v="19"/>
    <x v="6"/>
    <x v="6"/>
    <x v="2"/>
  </r>
  <r>
    <s v="TX501022"/>
    <x v="8"/>
    <x v="0"/>
    <n v="28"/>
    <x v="879"/>
    <x v="40"/>
    <d v="2025-02-12T00:00:00"/>
    <x v="1"/>
    <x v="2"/>
    <x v="2"/>
    <x v="0"/>
    <x v="21"/>
    <x v="1"/>
    <x v="6"/>
    <x v="1"/>
  </r>
  <r>
    <s v="TX501023"/>
    <x v="6"/>
    <x v="3"/>
    <n v="50.2"/>
    <x v="880"/>
    <x v="40"/>
    <d v="2025-02-12T00:00:00"/>
    <x v="1"/>
    <x v="2"/>
    <x v="0"/>
    <x v="0"/>
    <x v="21"/>
    <x v="1"/>
    <x v="6"/>
    <x v="1"/>
  </r>
  <r>
    <s v="TX501024"/>
    <x v="6"/>
    <x v="1"/>
    <n v="56"/>
    <x v="881"/>
    <x v="40"/>
    <d v="2025-02-10T00:00:00"/>
    <x v="1"/>
    <x v="0"/>
    <x v="2"/>
    <x v="0"/>
    <x v="22"/>
    <x v="7"/>
    <x v="6"/>
    <x v="1"/>
  </r>
  <r>
    <s v="TX501025"/>
    <x v="1"/>
    <x v="1"/>
    <n v="38.299999999999997"/>
    <x v="882"/>
    <x v="40"/>
    <d v="2025-02-11T00:00:00"/>
    <x v="2"/>
    <x v="1"/>
    <x v="0"/>
    <x v="0"/>
    <x v="3"/>
    <x v="3"/>
    <x v="6"/>
    <x v="2"/>
  </r>
  <r>
    <s v="TX501026"/>
    <x v="0"/>
    <x v="9"/>
    <n v="22.3"/>
    <x v="883"/>
    <x v="40"/>
    <d v="2025-02-14T00:00:00"/>
    <x v="2"/>
    <x v="2"/>
    <x v="1"/>
    <x v="0"/>
    <x v="3"/>
    <x v="5"/>
    <x v="6"/>
    <x v="2"/>
  </r>
  <r>
    <s v="TX501027"/>
    <x v="0"/>
    <x v="2"/>
    <n v="22.3"/>
    <x v="884"/>
    <x v="40"/>
    <d v="2025-02-13T00:00:00"/>
    <x v="2"/>
    <x v="2"/>
    <x v="0"/>
    <x v="0"/>
    <x v="3"/>
    <x v="2"/>
    <x v="6"/>
    <x v="2"/>
  </r>
  <r>
    <s v="TX501028"/>
    <x v="1"/>
    <x v="0"/>
    <n v="32.9"/>
    <x v="860"/>
    <x v="40"/>
    <d v="2025-02-15T00:00:00"/>
    <x v="2"/>
    <x v="0"/>
    <x v="0"/>
    <x v="0"/>
    <x v="3"/>
    <x v="0"/>
    <x v="6"/>
    <x v="2"/>
  </r>
  <r>
    <s v="TX501029"/>
    <x v="10"/>
    <x v="2"/>
    <n v="31.9"/>
    <x v="802"/>
    <x v="40"/>
    <d v="2025-02-15T00:00:00"/>
    <x v="2"/>
    <x v="0"/>
    <x v="0"/>
    <x v="0"/>
    <x v="3"/>
    <x v="0"/>
    <x v="6"/>
    <x v="2"/>
  </r>
  <r>
    <s v="TX501030"/>
    <x v="6"/>
    <x v="1"/>
    <n v="94"/>
    <x v="885"/>
    <x v="40"/>
    <d v="2025-02-11T00:00:00"/>
    <x v="1"/>
    <x v="2"/>
    <x v="2"/>
    <x v="0"/>
    <x v="3"/>
    <x v="3"/>
    <x v="6"/>
    <x v="1"/>
  </r>
  <r>
    <s v="TX501031"/>
    <x v="10"/>
    <x v="1"/>
    <n v="30.7"/>
    <x v="886"/>
    <x v="40"/>
    <d v="2025-02-11T00:00:00"/>
    <x v="2"/>
    <x v="0"/>
    <x v="1"/>
    <x v="0"/>
    <x v="3"/>
    <x v="3"/>
    <x v="6"/>
    <x v="2"/>
  </r>
  <r>
    <s v="TX501032"/>
    <x v="5"/>
    <x v="9"/>
    <n v="90.5"/>
    <x v="887"/>
    <x v="40"/>
    <d v="2025-02-17T00:00:00"/>
    <x v="1"/>
    <x v="0"/>
    <x v="2"/>
    <x v="0"/>
    <x v="3"/>
    <x v="6"/>
    <x v="6"/>
    <x v="1"/>
  </r>
  <r>
    <s v="TX501033"/>
    <x v="8"/>
    <x v="9"/>
    <n v="25.3"/>
    <x v="888"/>
    <x v="40"/>
    <d v="2025-02-14T00:00:00"/>
    <x v="2"/>
    <x v="0"/>
    <x v="2"/>
    <x v="0"/>
    <x v="3"/>
    <x v="5"/>
    <x v="6"/>
    <x v="2"/>
  </r>
  <r>
    <s v="TX501034"/>
    <x v="6"/>
    <x v="2"/>
    <n v="58.1"/>
    <x v="889"/>
    <x v="40"/>
    <d v="2025-02-14T00:00:00"/>
    <x v="0"/>
    <x v="0"/>
    <x v="2"/>
    <x v="0"/>
    <x v="3"/>
    <x v="5"/>
    <x v="6"/>
    <x v="0"/>
  </r>
  <r>
    <s v="TX501035"/>
    <x v="2"/>
    <x v="2"/>
    <n v="74.900000000000006"/>
    <x v="890"/>
    <x v="40"/>
    <d v="2025-02-11T00:00:00"/>
    <x v="2"/>
    <x v="4"/>
    <x v="0"/>
    <x v="0"/>
    <x v="3"/>
    <x v="3"/>
    <x v="6"/>
    <x v="2"/>
  </r>
  <r>
    <s v="TX501036"/>
    <x v="4"/>
    <x v="1"/>
    <n v="32.5"/>
    <x v="891"/>
    <x v="40"/>
    <d v="2025-02-11T00:00:00"/>
    <x v="1"/>
    <x v="2"/>
    <x v="2"/>
    <x v="0"/>
    <x v="43"/>
    <x v="3"/>
    <x v="6"/>
    <x v="1"/>
  </r>
  <r>
    <s v="TX501037"/>
    <x v="4"/>
    <x v="9"/>
    <n v="62"/>
    <x v="892"/>
    <x v="40"/>
    <d v="2025-02-11T00:00:00"/>
    <x v="1"/>
    <x v="4"/>
    <x v="2"/>
    <x v="0"/>
    <x v="25"/>
    <x v="3"/>
    <x v="6"/>
    <x v="1"/>
  </r>
  <r>
    <s v="TX501038"/>
    <x v="13"/>
    <x v="13"/>
    <n v="28.9"/>
    <x v="893"/>
    <x v="40"/>
    <d v="2025-02-13T00:00:00"/>
    <x v="2"/>
    <x v="0"/>
    <x v="1"/>
    <x v="0"/>
    <x v="6"/>
    <x v="2"/>
    <x v="6"/>
    <x v="2"/>
  </r>
  <r>
    <s v="TX501039"/>
    <x v="6"/>
    <x v="8"/>
    <n v="42.8"/>
    <x v="894"/>
    <x v="40"/>
    <d v="2025-02-12T00:00:00"/>
    <x v="2"/>
    <x v="0"/>
    <x v="2"/>
    <x v="0"/>
    <x v="6"/>
    <x v="1"/>
    <x v="6"/>
    <x v="2"/>
  </r>
  <r>
    <s v="TX501040"/>
    <x v="8"/>
    <x v="8"/>
    <n v="39.4"/>
    <x v="895"/>
    <x v="40"/>
    <d v="2025-02-12T00:00:00"/>
    <x v="1"/>
    <x v="0"/>
    <x v="0"/>
    <x v="0"/>
    <x v="36"/>
    <x v="1"/>
    <x v="6"/>
    <x v="1"/>
  </r>
  <r>
    <s v="TX501041"/>
    <x v="18"/>
    <x v="2"/>
    <n v="66.400000000000006"/>
    <x v="896"/>
    <x v="40"/>
    <d v="2025-02-11T00:00:00"/>
    <x v="0"/>
    <x v="2"/>
    <x v="1"/>
    <x v="0"/>
    <x v="7"/>
    <x v="3"/>
    <x v="6"/>
    <x v="0"/>
  </r>
  <r>
    <s v="TX501042"/>
    <x v="17"/>
    <x v="12"/>
    <n v="35.9"/>
    <x v="897"/>
    <x v="40"/>
    <d v="2025-02-17T00:00:00"/>
    <x v="2"/>
    <x v="1"/>
    <x v="0"/>
    <x v="0"/>
    <x v="7"/>
    <x v="6"/>
    <x v="6"/>
    <x v="2"/>
  </r>
  <r>
    <s v="TX501043"/>
    <x v="0"/>
    <x v="12"/>
    <n v="26.9"/>
    <x v="799"/>
    <x v="40"/>
    <d v="2025-02-11T00:00:00"/>
    <x v="1"/>
    <x v="1"/>
    <x v="0"/>
    <x v="0"/>
    <x v="7"/>
    <x v="3"/>
    <x v="6"/>
    <x v="1"/>
  </r>
  <r>
    <s v="TX501044"/>
    <x v="2"/>
    <x v="0"/>
    <n v="55.1"/>
    <x v="898"/>
    <x v="40"/>
    <d v="2025-02-11T00:00:00"/>
    <x v="2"/>
    <x v="0"/>
    <x v="0"/>
    <x v="0"/>
    <x v="7"/>
    <x v="3"/>
    <x v="6"/>
    <x v="2"/>
  </r>
  <r>
    <s v="TX501045"/>
    <x v="4"/>
    <x v="1"/>
    <n v="23.9"/>
    <x v="538"/>
    <x v="40"/>
    <d v="2025-02-11T00:00:00"/>
    <x v="1"/>
    <x v="0"/>
    <x v="2"/>
    <x v="0"/>
    <x v="8"/>
    <x v="3"/>
    <x v="6"/>
    <x v="1"/>
  </r>
  <r>
    <s v="TX501046"/>
    <x v="9"/>
    <x v="15"/>
    <n v="21.1"/>
    <x v="899"/>
    <x v="40"/>
    <d v="2025-02-18T00:00:00"/>
    <x v="2"/>
    <x v="0"/>
    <x v="1"/>
    <x v="0"/>
    <x v="8"/>
    <x v="9"/>
    <x v="6"/>
    <x v="2"/>
  </r>
  <r>
    <s v="TX501047"/>
    <x v="8"/>
    <x v="9"/>
    <n v="33.799999999999997"/>
    <x v="900"/>
    <x v="40"/>
    <d v="2025-02-12T00:00:00"/>
    <x v="2"/>
    <x v="0"/>
    <x v="0"/>
    <x v="0"/>
    <x v="8"/>
    <x v="1"/>
    <x v="6"/>
    <x v="2"/>
  </r>
  <r>
    <s v="TX501048"/>
    <x v="2"/>
    <x v="12"/>
    <n v="56.1"/>
    <x v="901"/>
    <x v="40"/>
    <d v="2025-02-10T00:00:00"/>
    <x v="2"/>
    <x v="3"/>
    <x v="2"/>
    <x v="0"/>
    <x v="9"/>
    <x v="7"/>
    <x v="6"/>
    <x v="2"/>
  </r>
  <r>
    <s v="TX501049"/>
    <x v="3"/>
    <x v="0"/>
    <n v="58.5"/>
    <x v="902"/>
    <x v="41"/>
    <d v="2025-02-15T00:00:00"/>
    <x v="2"/>
    <x v="1"/>
    <x v="2"/>
    <x v="0"/>
    <x v="9"/>
    <x v="5"/>
    <x v="6"/>
    <x v="2"/>
  </r>
  <r>
    <s v="TX501050"/>
    <x v="6"/>
    <x v="0"/>
    <n v="84.2"/>
    <x v="903"/>
    <x v="41"/>
    <d v="2025-02-13T00:00:00"/>
    <x v="1"/>
    <x v="3"/>
    <x v="0"/>
    <x v="0"/>
    <x v="11"/>
    <x v="1"/>
    <x v="6"/>
    <x v="1"/>
  </r>
  <r>
    <s v="TX501051"/>
    <x v="11"/>
    <x v="12"/>
    <n v="52"/>
    <x v="904"/>
    <x v="41"/>
    <d v="2025-02-14T00:00:00"/>
    <x v="1"/>
    <x v="0"/>
    <x v="0"/>
    <x v="0"/>
    <x v="11"/>
    <x v="2"/>
    <x v="6"/>
    <x v="1"/>
  </r>
  <r>
    <s v="TX501052"/>
    <x v="4"/>
    <x v="9"/>
    <n v="31.5"/>
    <x v="905"/>
    <x v="41"/>
    <d v="2025-02-12T00:00:00"/>
    <x v="2"/>
    <x v="0"/>
    <x v="2"/>
    <x v="0"/>
    <x v="11"/>
    <x v="3"/>
    <x v="6"/>
    <x v="2"/>
  </r>
  <r>
    <s v="TX501053"/>
    <x v="16"/>
    <x v="2"/>
    <n v="46.2"/>
    <x v="209"/>
    <x v="41"/>
    <d v="2025-02-12T00:00:00"/>
    <x v="1"/>
    <x v="0"/>
    <x v="0"/>
    <x v="0"/>
    <x v="53"/>
    <x v="3"/>
    <x v="6"/>
    <x v="1"/>
  </r>
  <r>
    <s v="TX501054"/>
    <x v="2"/>
    <x v="13"/>
    <n v="135"/>
    <x v="906"/>
    <x v="41"/>
    <d v="2025-02-12T00:00:00"/>
    <x v="2"/>
    <x v="1"/>
    <x v="2"/>
    <x v="0"/>
    <x v="18"/>
    <x v="3"/>
    <x v="6"/>
    <x v="2"/>
  </r>
  <r>
    <s v="TX501055"/>
    <x v="12"/>
    <x v="2"/>
    <n v="92.2"/>
    <x v="907"/>
    <x v="41"/>
    <d v="2025-02-15T00:00:00"/>
    <x v="1"/>
    <x v="0"/>
    <x v="0"/>
    <x v="0"/>
    <x v="21"/>
    <x v="5"/>
    <x v="6"/>
    <x v="1"/>
  </r>
  <r>
    <s v="TX501056"/>
    <x v="8"/>
    <x v="0"/>
    <n v="36.6"/>
    <x v="547"/>
    <x v="41"/>
    <d v="2025-02-13T00:00:00"/>
    <x v="1"/>
    <x v="2"/>
    <x v="2"/>
    <x v="0"/>
    <x v="21"/>
    <x v="1"/>
    <x v="6"/>
    <x v="1"/>
  </r>
  <r>
    <s v="TX501057"/>
    <x v="9"/>
    <x v="1"/>
    <n v="50.6"/>
    <x v="855"/>
    <x v="41"/>
    <d v="2025-02-14T00:00:00"/>
    <x v="2"/>
    <x v="0"/>
    <x v="0"/>
    <x v="0"/>
    <x v="2"/>
    <x v="2"/>
    <x v="6"/>
    <x v="2"/>
  </r>
  <r>
    <s v="TX501058"/>
    <x v="18"/>
    <x v="3"/>
    <n v="56.7"/>
    <x v="908"/>
    <x v="41"/>
    <d v="2025-02-14T00:00:00"/>
    <x v="2"/>
    <x v="0"/>
    <x v="0"/>
    <x v="0"/>
    <x v="2"/>
    <x v="2"/>
    <x v="6"/>
    <x v="2"/>
  </r>
  <r>
    <s v="TX501059"/>
    <x v="9"/>
    <x v="15"/>
    <n v="22.9"/>
    <x v="909"/>
    <x v="41"/>
    <d v="2025-02-12T00:00:00"/>
    <x v="2"/>
    <x v="0"/>
    <x v="1"/>
    <x v="0"/>
    <x v="44"/>
    <x v="3"/>
    <x v="6"/>
    <x v="2"/>
  </r>
  <r>
    <s v="TX501060"/>
    <x v="15"/>
    <x v="10"/>
    <n v="53.6"/>
    <x v="910"/>
    <x v="41"/>
    <d v="2025-02-12T00:00:00"/>
    <x v="1"/>
    <x v="0"/>
    <x v="0"/>
    <x v="0"/>
    <x v="22"/>
    <x v="3"/>
    <x v="6"/>
    <x v="1"/>
  </r>
  <r>
    <s v="TX501061"/>
    <x v="18"/>
    <x v="1"/>
    <n v="30.2"/>
    <x v="266"/>
    <x v="41"/>
    <d v="2025-02-13T00:00:00"/>
    <x v="0"/>
    <x v="2"/>
    <x v="2"/>
    <x v="0"/>
    <x v="3"/>
    <x v="1"/>
    <x v="6"/>
    <x v="0"/>
  </r>
  <r>
    <s v="TX501062"/>
    <x v="15"/>
    <x v="13"/>
    <n v="83.4"/>
    <x v="911"/>
    <x v="41"/>
    <d v="2025-02-12T00:00:00"/>
    <x v="1"/>
    <x v="1"/>
    <x v="2"/>
    <x v="0"/>
    <x v="3"/>
    <x v="3"/>
    <x v="6"/>
    <x v="1"/>
  </r>
  <r>
    <s v="TX501063"/>
    <x v="13"/>
    <x v="4"/>
    <n v="16.600000000000001"/>
    <x v="896"/>
    <x v="41"/>
    <d v="2025-02-13T00:00:00"/>
    <x v="1"/>
    <x v="1"/>
    <x v="0"/>
    <x v="0"/>
    <x v="3"/>
    <x v="1"/>
    <x v="6"/>
    <x v="1"/>
  </r>
  <r>
    <s v="TX501064"/>
    <x v="8"/>
    <x v="14"/>
    <n v="21.9"/>
    <x v="912"/>
    <x v="41"/>
    <d v="2025-02-13T00:00:00"/>
    <x v="2"/>
    <x v="4"/>
    <x v="1"/>
    <x v="0"/>
    <x v="3"/>
    <x v="1"/>
    <x v="6"/>
    <x v="2"/>
  </r>
  <r>
    <s v="TX501065"/>
    <x v="8"/>
    <x v="31"/>
    <n v="33.799999999999997"/>
    <x v="913"/>
    <x v="41"/>
    <d v="2025-02-13T00:00:00"/>
    <x v="1"/>
    <x v="2"/>
    <x v="4"/>
    <x v="0"/>
    <x v="3"/>
    <x v="1"/>
    <x v="6"/>
    <x v="1"/>
  </r>
  <r>
    <s v="TX501066"/>
    <x v="18"/>
    <x v="1"/>
    <n v="53.2"/>
    <x v="793"/>
    <x v="41"/>
    <d v="2025-02-11T00:00:00"/>
    <x v="1"/>
    <x v="1"/>
    <x v="0"/>
    <x v="0"/>
    <x v="3"/>
    <x v="7"/>
    <x v="6"/>
    <x v="1"/>
  </r>
  <r>
    <s v="TX501067"/>
    <x v="2"/>
    <x v="1"/>
    <n v="176.7"/>
    <x v="914"/>
    <x v="41"/>
    <d v="2025-02-14T00:00:00"/>
    <x v="2"/>
    <x v="2"/>
    <x v="0"/>
    <x v="0"/>
    <x v="3"/>
    <x v="2"/>
    <x v="6"/>
    <x v="2"/>
  </r>
  <r>
    <s v="TX501068"/>
    <x v="12"/>
    <x v="2"/>
    <n v="54"/>
    <x v="915"/>
    <x v="41"/>
    <d v="2025-02-14T00:00:00"/>
    <x v="1"/>
    <x v="0"/>
    <x v="1"/>
    <x v="0"/>
    <x v="3"/>
    <x v="2"/>
    <x v="6"/>
    <x v="1"/>
  </r>
  <r>
    <s v="TX501069"/>
    <x v="9"/>
    <x v="1"/>
    <n v="70.099999999999994"/>
    <x v="634"/>
    <x v="41"/>
    <d v="2025-02-19T00:00:00"/>
    <x v="2"/>
    <x v="3"/>
    <x v="2"/>
    <x v="0"/>
    <x v="3"/>
    <x v="9"/>
    <x v="6"/>
    <x v="2"/>
  </r>
  <r>
    <s v="TX501070"/>
    <x v="8"/>
    <x v="0"/>
    <n v="26.5"/>
    <x v="38"/>
    <x v="41"/>
    <d v="2025-02-13T00:00:00"/>
    <x v="2"/>
    <x v="1"/>
    <x v="0"/>
    <x v="0"/>
    <x v="3"/>
    <x v="1"/>
    <x v="6"/>
    <x v="2"/>
  </r>
  <r>
    <s v="TX501071"/>
    <x v="7"/>
    <x v="9"/>
    <n v="89"/>
    <x v="916"/>
    <x v="41"/>
    <d v="2025-02-13T00:00:00"/>
    <x v="1"/>
    <x v="2"/>
    <x v="4"/>
    <x v="0"/>
    <x v="3"/>
    <x v="1"/>
    <x v="6"/>
    <x v="1"/>
  </r>
  <r>
    <s v="TX501072"/>
    <x v="1"/>
    <x v="13"/>
    <n v="47"/>
    <x v="917"/>
    <x v="41"/>
    <d v="2025-02-14T00:00:00"/>
    <x v="2"/>
    <x v="3"/>
    <x v="0"/>
    <x v="0"/>
    <x v="24"/>
    <x v="2"/>
    <x v="6"/>
    <x v="2"/>
  </r>
  <r>
    <s v="TX501073"/>
    <x v="3"/>
    <x v="1"/>
    <n v="55.2"/>
    <x v="918"/>
    <x v="41"/>
    <d v="2025-02-14T00:00:00"/>
    <x v="1"/>
    <x v="1"/>
    <x v="1"/>
    <x v="0"/>
    <x v="6"/>
    <x v="2"/>
    <x v="6"/>
    <x v="1"/>
  </r>
  <r>
    <s v="TX501074"/>
    <x v="8"/>
    <x v="39"/>
    <n v="33.299999999999997"/>
    <x v="919"/>
    <x v="41"/>
    <d v="2025-02-25T00:00:00"/>
    <x v="1"/>
    <x v="1"/>
    <x v="2"/>
    <x v="0"/>
    <x v="6"/>
    <x v="12"/>
    <x v="6"/>
    <x v="1"/>
  </r>
  <r>
    <s v="TX501075"/>
    <x v="2"/>
    <x v="12"/>
    <n v="110.9"/>
    <x v="920"/>
    <x v="42"/>
    <d v="2025-02-12T00:00:00"/>
    <x v="1"/>
    <x v="2"/>
    <x v="4"/>
    <x v="0"/>
    <x v="6"/>
    <x v="7"/>
    <x v="6"/>
    <x v="1"/>
  </r>
  <r>
    <s v="TX501076"/>
    <x v="2"/>
    <x v="13"/>
    <n v="67.3"/>
    <x v="921"/>
    <x v="42"/>
    <d v="2025-02-13T00:00:00"/>
    <x v="1"/>
    <x v="0"/>
    <x v="0"/>
    <x v="0"/>
    <x v="8"/>
    <x v="3"/>
    <x v="6"/>
    <x v="1"/>
  </r>
  <r>
    <s v="TX501077"/>
    <x v="6"/>
    <x v="2"/>
    <n v="69.7"/>
    <x v="922"/>
    <x v="42"/>
    <d v="2025-02-13T00:00:00"/>
    <x v="1"/>
    <x v="2"/>
    <x v="1"/>
    <x v="0"/>
    <x v="8"/>
    <x v="3"/>
    <x v="6"/>
    <x v="1"/>
  </r>
  <r>
    <s v="TX501078"/>
    <x v="5"/>
    <x v="0"/>
    <n v="39.1"/>
    <x v="923"/>
    <x v="42"/>
    <d v="2025-02-17T00:00:00"/>
    <x v="1"/>
    <x v="0"/>
    <x v="1"/>
    <x v="0"/>
    <x v="17"/>
    <x v="0"/>
    <x v="6"/>
    <x v="1"/>
  </r>
  <r>
    <s v="TX501079"/>
    <x v="2"/>
    <x v="2"/>
    <n v="208.6"/>
    <x v="924"/>
    <x v="42"/>
    <d v="2025-02-12T00:00:00"/>
    <x v="1"/>
    <x v="4"/>
    <x v="2"/>
    <x v="0"/>
    <x v="17"/>
    <x v="7"/>
    <x v="6"/>
    <x v="1"/>
  </r>
  <r>
    <s v="TX501080"/>
    <x v="15"/>
    <x v="2"/>
    <n v="27.8"/>
    <x v="925"/>
    <x v="42"/>
    <d v="2025-02-13T00:00:00"/>
    <x v="1"/>
    <x v="3"/>
    <x v="1"/>
    <x v="0"/>
    <x v="11"/>
    <x v="3"/>
    <x v="6"/>
    <x v="1"/>
  </r>
  <r>
    <s v="TX501081"/>
    <x v="10"/>
    <x v="9"/>
    <n v="29.4"/>
    <x v="926"/>
    <x v="42"/>
    <d v="2025-02-14T00:00:00"/>
    <x v="2"/>
    <x v="0"/>
    <x v="0"/>
    <x v="0"/>
    <x v="11"/>
    <x v="1"/>
    <x v="6"/>
    <x v="2"/>
  </r>
  <r>
    <s v="TX501082"/>
    <x v="9"/>
    <x v="1"/>
    <n v="29.2"/>
    <x v="305"/>
    <x v="42"/>
    <d v="2025-02-14T00:00:00"/>
    <x v="2"/>
    <x v="1"/>
    <x v="2"/>
    <x v="0"/>
    <x v="20"/>
    <x v="1"/>
    <x v="6"/>
    <x v="2"/>
  </r>
  <r>
    <s v="TX501083"/>
    <x v="10"/>
    <x v="9"/>
    <n v="26.5"/>
    <x v="927"/>
    <x v="42"/>
    <d v="2025-02-14T00:00:00"/>
    <x v="2"/>
    <x v="0"/>
    <x v="0"/>
    <x v="0"/>
    <x v="52"/>
    <x v="1"/>
    <x v="6"/>
    <x v="2"/>
  </r>
  <r>
    <s v="TX501084"/>
    <x v="5"/>
    <x v="0"/>
    <n v="30.3"/>
    <x v="928"/>
    <x v="42"/>
    <d v="2025-02-13T00:00:00"/>
    <x v="2"/>
    <x v="4"/>
    <x v="1"/>
    <x v="0"/>
    <x v="13"/>
    <x v="3"/>
    <x v="6"/>
    <x v="2"/>
  </r>
  <r>
    <s v="TX501085"/>
    <x v="16"/>
    <x v="4"/>
    <n v="39.700000000000003"/>
    <x v="929"/>
    <x v="42"/>
    <d v="2025-02-13T00:00:00"/>
    <x v="2"/>
    <x v="0"/>
    <x v="0"/>
    <x v="0"/>
    <x v="21"/>
    <x v="3"/>
    <x v="6"/>
    <x v="2"/>
  </r>
  <r>
    <s v="TX501086"/>
    <x v="7"/>
    <x v="7"/>
    <n v="58.9"/>
    <x v="930"/>
    <x v="42"/>
    <d v="2025-02-14T00:00:00"/>
    <x v="2"/>
    <x v="1"/>
    <x v="4"/>
    <x v="0"/>
    <x v="21"/>
    <x v="1"/>
    <x v="6"/>
    <x v="2"/>
  </r>
  <r>
    <s v="TX501087"/>
    <x v="2"/>
    <x v="1"/>
    <n v="174.1"/>
    <x v="931"/>
    <x v="42"/>
    <d v="2025-02-14T00:00:00"/>
    <x v="2"/>
    <x v="0"/>
    <x v="1"/>
    <x v="0"/>
    <x v="46"/>
    <x v="1"/>
    <x v="6"/>
    <x v="2"/>
  </r>
  <r>
    <s v="TX501088"/>
    <x v="6"/>
    <x v="1"/>
    <n v="70.8"/>
    <x v="932"/>
    <x v="42"/>
    <d v="2025-02-15T00:00:00"/>
    <x v="1"/>
    <x v="2"/>
    <x v="0"/>
    <x v="0"/>
    <x v="22"/>
    <x v="2"/>
    <x v="6"/>
    <x v="1"/>
  </r>
  <r>
    <s v="TX501089"/>
    <x v="7"/>
    <x v="1"/>
    <n v="57.4"/>
    <x v="311"/>
    <x v="42"/>
    <d v="2025-02-14T00:00:00"/>
    <x v="2"/>
    <x v="1"/>
    <x v="1"/>
    <x v="0"/>
    <x v="34"/>
    <x v="1"/>
    <x v="6"/>
    <x v="2"/>
  </r>
  <r>
    <s v="TX501090"/>
    <x v="0"/>
    <x v="1"/>
    <n v="28.5"/>
    <x v="933"/>
    <x v="42"/>
    <d v="2025-02-14T00:00:00"/>
    <x v="1"/>
    <x v="3"/>
    <x v="1"/>
    <x v="0"/>
    <x v="3"/>
    <x v="1"/>
    <x v="6"/>
    <x v="1"/>
  </r>
  <r>
    <s v="TX501091"/>
    <x v="2"/>
    <x v="28"/>
    <n v="106.6"/>
    <x v="934"/>
    <x v="42"/>
    <d v="2025-02-13T00:00:00"/>
    <x v="0"/>
    <x v="1"/>
    <x v="4"/>
    <x v="0"/>
    <x v="3"/>
    <x v="3"/>
    <x v="6"/>
    <x v="0"/>
  </r>
  <r>
    <s v="TX501092"/>
    <x v="2"/>
    <x v="2"/>
    <n v="119.7"/>
    <x v="935"/>
    <x v="42"/>
    <d v="2025-02-13T00:00:00"/>
    <x v="2"/>
    <x v="1"/>
    <x v="4"/>
    <x v="0"/>
    <x v="3"/>
    <x v="3"/>
    <x v="6"/>
    <x v="2"/>
  </r>
  <r>
    <s v="TX501093"/>
    <x v="18"/>
    <x v="0"/>
    <n v="73.3"/>
    <x v="936"/>
    <x v="42"/>
    <d v="2025-02-17T00:00:00"/>
    <x v="2"/>
    <x v="0"/>
    <x v="2"/>
    <x v="0"/>
    <x v="3"/>
    <x v="0"/>
    <x v="6"/>
    <x v="2"/>
  </r>
  <r>
    <s v="TX501094"/>
    <x v="0"/>
    <x v="1"/>
    <n v="25.8"/>
    <x v="937"/>
    <x v="42"/>
    <d v="2025-02-26T00:00:00"/>
    <x v="1"/>
    <x v="2"/>
    <x v="0"/>
    <x v="0"/>
    <x v="3"/>
    <x v="12"/>
    <x v="6"/>
    <x v="1"/>
  </r>
  <r>
    <s v="TX501095"/>
    <x v="17"/>
    <x v="2"/>
    <n v="49.1"/>
    <x v="824"/>
    <x v="42"/>
    <d v="2025-02-14T00:00:00"/>
    <x v="2"/>
    <x v="0"/>
    <x v="0"/>
    <x v="0"/>
    <x v="24"/>
    <x v="1"/>
    <x v="6"/>
    <x v="2"/>
  </r>
  <r>
    <s v="TX501096"/>
    <x v="1"/>
    <x v="0"/>
    <n v="44.9"/>
    <x v="938"/>
    <x v="42"/>
    <d v="2025-02-15T00:00:00"/>
    <x v="2"/>
    <x v="3"/>
    <x v="2"/>
    <x v="0"/>
    <x v="6"/>
    <x v="2"/>
    <x v="6"/>
    <x v="2"/>
  </r>
  <r>
    <s v="TX501097"/>
    <x v="15"/>
    <x v="3"/>
    <n v="29.9"/>
    <x v="549"/>
    <x v="42"/>
    <d v="2025-02-13T00:00:00"/>
    <x v="2"/>
    <x v="0"/>
    <x v="0"/>
    <x v="0"/>
    <x v="6"/>
    <x v="3"/>
    <x v="6"/>
    <x v="2"/>
  </r>
  <r>
    <s v="TX501098"/>
    <x v="7"/>
    <x v="1"/>
    <n v="54.3"/>
    <x v="939"/>
    <x v="43"/>
    <d v="2025-02-14T00:00:00"/>
    <x v="1"/>
    <x v="3"/>
    <x v="0"/>
    <x v="0"/>
    <x v="36"/>
    <x v="3"/>
    <x v="6"/>
    <x v="1"/>
  </r>
  <r>
    <s v="TX501099"/>
    <x v="9"/>
    <x v="12"/>
    <n v="57"/>
    <x v="416"/>
    <x v="43"/>
    <d v="2025-02-15T00:00:00"/>
    <x v="2"/>
    <x v="0"/>
    <x v="0"/>
    <x v="0"/>
    <x v="8"/>
    <x v="1"/>
    <x v="6"/>
    <x v="2"/>
  </r>
  <r>
    <s v="TX501100"/>
    <x v="2"/>
    <x v="0"/>
    <n v="139.19999999999999"/>
    <x v="388"/>
    <x v="43"/>
    <d v="2025-02-14T00:00:00"/>
    <x v="2"/>
    <x v="3"/>
    <x v="2"/>
    <x v="0"/>
    <x v="8"/>
    <x v="3"/>
    <x v="6"/>
    <x v="2"/>
  </r>
  <r>
    <s v="TX501101"/>
    <x v="10"/>
    <x v="0"/>
    <n v="33"/>
    <x v="940"/>
    <x v="43"/>
    <d v="2025-02-16T00:00:00"/>
    <x v="2"/>
    <x v="0"/>
    <x v="2"/>
    <x v="0"/>
    <x v="8"/>
    <x v="2"/>
    <x v="6"/>
    <x v="2"/>
  </r>
  <r>
    <s v="TX501102"/>
    <x v="11"/>
    <x v="13"/>
    <n v="80.2"/>
    <x v="941"/>
    <x v="43"/>
    <d v="2025-02-15T00:00:00"/>
    <x v="1"/>
    <x v="1"/>
    <x v="4"/>
    <x v="0"/>
    <x v="8"/>
    <x v="1"/>
    <x v="6"/>
    <x v="1"/>
  </r>
  <r>
    <s v="TX501103"/>
    <x v="18"/>
    <x v="8"/>
    <n v="49"/>
    <x v="942"/>
    <x v="43"/>
    <d v="2025-02-14T00:00:00"/>
    <x v="0"/>
    <x v="2"/>
    <x v="1"/>
    <x v="0"/>
    <x v="9"/>
    <x v="3"/>
    <x v="6"/>
    <x v="0"/>
  </r>
  <r>
    <s v="TX501104"/>
    <x v="1"/>
    <x v="12"/>
    <n v="104.4"/>
    <x v="943"/>
    <x v="43"/>
    <d v="2025-02-13T00:00:00"/>
    <x v="2"/>
    <x v="0"/>
    <x v="0"/>
    <x v="0"/>
    <x v="9"/>
    <x v="7"/>
    <x v="6"/>
    <x v="2"/>
  </r>
  <r>
    <s v="TX501105"/>
    <x v="3"/>
    <x v="0"/>
    <n v="41.6"/>
    <x v="480"/>
    <x v="43"/>
    <d v="2025-02-16T00:00:00"/>
    <x v="1"/>
    <x v="3"/>
    <x v="0"/>
    <x v="0"/>
    <x v="11"/>
    <x v="2"/>
    <x v="6"/>
    <x v="1"/>
  </r>
  <r>
    <s v="TX501106"/>
    <x v="19"/>
    <x v="1"/>
    <n v="16.399999999999999"/>
    <x v="944"/>
    <x v="43"/>
    <d v="2025-02-14T00:00:00"/>
    <x v="3"/>
    <x v="0"/>
    <x v="2"/>
    <x v="0"/>
    <x v="11"/>
    <x v="3"/>
    <x v="6"/>
    <x v="3"/>
  </r>
  <r>
    <s v="TX501107"/>
    <x v="8"/>
    <x v="1"/>
    <n v="22"/>
    <x v="945"/>
    <x v="43"/>
    <d v="2025-02-14T00:00:00"/>
    <x v="1"/>
    <x v="2"/>
    <x v="2"/>
    <x v="0"/>
    <x v="53"/>
    <x v="3"/>
    <x v="6"/>
    <x v="1"/>
  </r>
  <r>
    <s v="TX501108"/>
    <x v="15"/>
    <x v="1"/>
    <n v="33.6"/>
    <x v="863"/>
    <x v="43"/>
    <d v="2025-02-18T00:00:00"/>
    <x v="2"/>
    <x v="0"/>
    <x v="0"/>
    <x v="0"/>
    <x v="21"/>
    <x v="0"/>
    <x v="6"/>
    <x v="2"/>
  </r>
  <r>
    <s v="TX501109"/>
    <x v="11"/>
    <x v="13"/>
    <n v="43"/>
    <x v="946"/>
    <x v="43"/>
    <d v="2025-02-14T00:00:00"/>
    <x v="2"/>
    <x v="2"/>
    <x v="0"/>
    <x v="0"/>
    <x v="21"/>
    <x v="3"/>
    <x v="6"/>
    <x v="2"/>
  </r>
  <r>
    <s v="TX501110"/>
    <x v="6"/>
    <x v="9"/>
    <n v="108.8"/>
    <x v="947"/>
    <x v="43"/>
    <d v="2025-02-16T00:00:00"/>
    <x v="2"/>
    <x v="4"/>
    <x v="2"/>
    <x v="0"/>
    <x v="21"/>
    <x v="2"/>
    <x v="6"/>
    <x v="2"/>
  </r>
  <r>
    <s v="TX501111"/>
    <x v="0"/>
    <x v="11"/>
    <n v="29.3"/>
    <x v="948"/>
    <x v="43"/>
    <d v="2025-02-15T00:00:00"/>
    <x v="1"/>
    <x v="4"/>
    <x v="2"/>
    <x v="0"/>
    <x v="21"/>
    <x v="1"/>
    <x v="6"/>
    <x v="1"/>
  </r>
  <r>
    <s v="TX501112"/>
    <x v="2"/>
    <x v="0"/>
    <n v="122.7"/>
    <x v="949"/>
    <x v="43"/>
    <d v="2025-02-16T00:00:00"/>
    <x v="3"/>
    <x v="0"/>
    <x v="2"/>
    <x v="0"/>
    <x v="1"/>
    <x v="2"/>
    <x v="6"/>
    <x v="3"/>
  </r>
  <r>
    <s v="TX501113"/>
    <x v="4"/>
    <x v="3"/>
    <n v="22.9"/>
    <x v="950"/>
    <x v="43"/>
    <d v="2025-02-14T00:00:00"/>
    <x v="2"/>
    <x v="0"/>
    <x v="0"/>
    <x v="0"/>
    <x v="42"/>
    <x v="3"/>
    <x v="6"/>
    <x v="2"/>
  </r>
  <r>
    <s v="TX501114"/>
    <x v="8"/>
    <x v="7"/>
    <n v="25.5"/>
    <x v="951"/>
    <x v="43"/>
    <d v="2025-02-20T00:00:00"/>
    <x v="2"/>
    <x v="0"/>
    <x v="0"/>
    <x v="0"/>
    <x v="33"/>
    <x v="6"/>
    <x v="6"/>
    <x v="2"/>
  </r>
  <r>
    <s v="TX501115"/>
    <x v="17"/>
    <x v="2"/>
    <n v="23.4"/>
    <x v="952"/>
    <x v="43"/>
    <d v="2025-02-17T00:00:00"/>
    <x v="2"/>
    <x v="0"/>
    <x v="2"/>
    <x v="0"/>
    <x v="3"/>
    <x v="5"/>
    <x v="6"/>
    <x v="2"/>
  </r>
  <r>
    <s v="TX501116"/>
    <x v="5"/>
    <x v="8"/>
    <n v="27.4"/>
    <x v="77"/>
    <x v="43"/>
    <d v="2025-02-16T00:00:00"/>
    <x v="2"/>
    <x v="2"/>
    <x v="0"/>
    <x v="0"/>
    <x v="3"/>
    <x v="2"/>
    <x v="6"/>
    <x v="2"/>
  </r>
  <r>
    <s v="TX501117"/>
    <x v="5"/>
    <x v="9"/>
    <n v="68.400000000000006"/>
    <x v="953"/>
    <x v="43"/>
    <d v="2025-02-14T00:00:00"/>
    <x v="2"/>
    <x v="0"/>
    <x v="0"/>
    <x v="0"/>
    <x v="3"/>
    <x v="3"/>
    <x v="6"/>
    <x v="2"/>
  </r>
  <r>
    <s v="TX501118"/>
    <x v="6"/>
    <x v="0"/>
    <n v="51.9"/>
    <x v="954"/>
    <x v="43"/>
    <d v="2025-02-13T00:00:00"/>
    <x v="2"/>
    <x v="0"/>
    <x v="0"/>
    <x v="0"/>
    <x v="3"/>
    <x v="7"/>
    <x v="6"/>
    <x v="2"/>
  </r>
  <r>
    <s v="TX501119"/>
    <x v="0"/>
    <x v="9"/>
    <n v="26.4"/>
    <x v="955"/>
    <x v="43"/>
    <d v="2025-02-16T00:00:00"/>
    <x v="2"/>
    <x v="0"/>
    <x v="2"/>
    <x v="0"/>
    <x v="3"/>
    <x v="2"/>
    <x v="6"/>
    <x v="2"/>
  </r>
  <r>
    <s v="TX501120"/>
    <x v="12"/>
    <x v="1"/>
    <n v="117"/>
    <x v="540"/>
    <x v="43"/>
    <d v="2025-02-14T00:00:00"/>
    <x v="2"/>
    <x v="1"/>
    <x v="1"/>
    <x v="0"/>
    <x v="3"/>
    <x v="3"/>
    <x v="6"/>
    <x v="2"/>
  </r>
  <r>
    <s v="TX501121"/>
    <x v="7"/>
    <x v="2"/>
    <n v="49.6"/>
    <x v="956"/>
    <x v="44"/>
    <d v="2025-02-16T00:00:00"/>
    <x v="2"/>
    <x v="0"/>
    <x v="0"/>
    <x v="0"/>
    <x v="3"/>
    <x v="1"/>
    <x v="6"/>
    <x v="2"/>
  </r>
  <r>
    <s v="TX501122"/>
    <x v="4"/>
    <x v="2"/>
    <n v="38"/>
    <x v="717"/>
    <x v="44"/>
    <d v="2025-02-17T00:00:00"/>
    <x v="1"/>
    <x v="2"/>
    <x v="4"/>
    <x v="0"/>
    <x v="3"/>
    <x v="2"/>
    <x v="6"/>
    <x v="1"/>
  </r>
  <r>
    <s v="TX501123"/>
    <x v="0"/>
    <x v="2"/>
    <n v="20.6"/>
    <x v="957"/>
    <x v="44"/>
    <d v="2025-02-16T00:00:00"/>
    <x v="2"/>
    <x v="4"/>
    <x v="2"/>
    <x v="0"/>
    <x v="3"/>
    <x v="1"/>
    <x v="6"/>
    <x v="2"/>
  </r>
  <r>
    <s v="TX501124"/>
    <x v="0"/>
    <x v="1"/>
    <n v="16"/>
    <x v="109"/>
    <x v="44"/>
    <d v="2025-02-15T00:00:00"/>
    <x v="1"/>
    <x v="1"/>
    <x v="1"/>
    <x v="0"/>
    <x v="49"/>
    <x v="3"/>
    <x v="6"/>
    <x v="1"/>
  </r>
  <r>
    <s v="TX501125"/>
    <x v="15"/>
    <x v="12"/>
    <n v="49.3"/>
    <x v="958"/>
    <x v="44"/>
    <d v="2025-02-15T00:00:00"/>
    <x v="2"/>
    <x v="2"/>
    <x v="0"/>
    <x v="0"/>
    <x v="23"/>
    <x v="3"/>
    <x v="6"/>
    <x v="2"/>
  </r>
  <r>
    <s v="TX501126"/>
    <x v="9"/>
    <x v="1"/>
    <n v="24.1"/>
    <x v="959"/>
    <x v="44"/>
    <d v="2025-02-18T00:00:00"/>
    <x v="2"/>
    <x v="0"/>
    <x v="0"/>
    <x v="0"/>
    <x v="6"/>
    <x v="5"/>
    <x v="6"/>
    <x v="2"/>
  </r>
  <r>
    <s v="TX501127"/>
    <x v="15"/>
    <x v="8"/>
    <n v="32.700000000000003"/>
    <x v="960"/>
    <x v="44"/>
    <d v="2025-02-15T00:00:00"/>
    <x v="2"/>
    <x v="1"/>
    <x v="0"/>
    <x v="0"/>
    <x v="6"/>
    <x v="3"/>
    <x v="6"/>
    <x v="2"/>
  </r>
  <r>
    <s v="TX501128"/>
    <x v="6"/>
    <x v="2"/>
    <n v="74.400000000000006"/>
    <x v="961"/>
    <x v="44"/>
    <d v="2025-02-15T00:00:00"/>
    <x v="2"/>
    <x v="3"/>
    <x v="2"/>
    <x v="0"/>
    <x v="8"/>
    <x v="3"/>
    <x v="6"/>
    <x v="2"/>
  </r>
  <r>
    <s v="TX501129"/>
    <x v="12"/>
    <x v="0"/>
    <n v="45.6"/>
    <x v="962"/>
    <x v="44"/>
    <d v="2025-02-18T00:00:00"/>
    <x v="2"/>
    <x v="4"/>
    <x v="0"/>
    <x v="0"/>
    <x v="8"/>
    <x v="5"/>
    <x v="6"/>
    <x v="2"/>
  </r>
  <r>
    <s v="TX501130"/>
    <x v="8"/>
    <x v="8"/>
    <n v="19.600000000000001"/>
    <x v="963"/>
    <x v="44"/>
    <d v="2025-02-27T00:00:00"/>
    <x v="2"/>
    <x v="0"/>
    <x v="0"/>
    <x v="0"/>
    <x v="8"/>
    <x v="10"/>
    <x v="6"/>
    <x v="2"/>
  </r>
  <r>
    <s v="TX501131"/>
    <x v="9"/>
    <x v="0"/>
    <n v="51.8"/>
    <x v="964"/>
    <x v="44"/>
    <d v="2025-02-15T00:00:00"/>
    <x v="2"/>
    <x v="1"/>
    <x v="0"/>
    <x v="0"/>
    <x v="8"/>
    <x v="3"/>
    <x v="6"/>
    <x v="2"/>
  </r>
  <r>
    <s v="TX501132"/>
    <x v="6"/>
    <x v="0"/>
    <n v="74.7"/>
    <x v="965"/>
    <x v="44"/>
    <d v="2025-02-15T00:00:00"/>
    <x v="1"/>
    <x v="0"/>
    <x v="1"/>
    <x v="0"/>
    <x v="8"/>
    <x v="3"/>
    <x v="6"/>
    <x v="1"/>
  </r>
  <r>
    <s v="TX501133"/>
    <x v="19"/>
    <x v="2"/>
    <n v="22.4"/>
    <x v="966"/>
    <x v="44"/>
    <d v="2025-02-15T00:00:00"/>
    <x v="2"/>
    <x v="1"/>
    <x v="2"/>
    <x v="0"/>
    <x v="9"/>
    <x v="3"/>
    <x v="6"/>
    <x v="2"/>
  </r>
  <r>
    <s v="TX501134"/>
    <x v="1"/>
    <x v="12"/>
    <n v="31.4"/>
    <x v="967"/>
    <x v="44"/>
    <d v="2025-02-15T00:00:00"/>
    <x v="2"/>
    <x v="1"/>
    <x v="0"/>
    <x v="0"/>
    <x v="9"/>
    <x v="3"/>
    <x v="6"/>
    <x v="2"/>
  </r>
  <r>
    <s v="TX501135"/>
    <x v="6"/>
    <x v="0"/>
    <n v="94"/>
    <x v="255"/>
    <x v="44"/>
    <d v="2025-02-14T00:00:00"/>
    <x v="2"/>
    <x v="1"/>
    <x v="2"/>
    <x v="0"/>
    <x v="10"/>
    <x v="7"/>
    <x v="6"/>
    <x v="2"/>
  </r>
  <r>
    <s v="TX501136"/>
    <x v="10"/>
    <x v="0"/>
    <n v="22.3"/>
    <x v="968"/>
    <x v="44"/>
    <d v="2025-02-15T00:00:00"/>
    <x v="1"/>
    <x v="4"/>
    <x v="0"/>
    <x v="0"/>
    <x v="20"/>
    <x v="3"/>
    <x v="6"/>
    <x v="1"/>
  </r>
  <r>
    <s v="TX501137"/>
    <x v="0"/>
    <x v="0"/>
    <n v="21.9"/>
    <x v="731"/>
    <x v="44"/>
    <d v="2025-02-17T00:00:00"/>
    <x v="2"/>
    <x v="2"/>
    <x v="0"/>
    <x v="0"/>
    <x v="21"/>
    <x v="2"/>
    <x v="6"/>
    <x v="2"/>
  </r>
  <r>
    <s v="TX501138"/>
    <x v="17"/>
    <x v="2"/>
    <n v="27"/>
    <x v="969"/>
    <x v="44"/>
    <d v="2025-02-16T00:00:00"/>
    <x v="2"/>
    <x v="4"/>
    <x v="2"/>
    <x v="0"/>
    <x v="2"/>
    <x v="1"/>
    <x v="6"/>
    <x v="2"/>
  </r>
  <r>
    <s v="TX501139"/>
    <x v="2"/>
    <x v="12"/>
    <n v="149.6"/>
    <x v="970"/>
    <x v="44"/>
    <d v="2025-02-14T00:00:00"/>
    <x v="2"/>
    <x v="4"/>
    <x v="0"/>
    <x v="0"/>
    <x v="22"/>
    <x v="7"/>
    <x v="6"/>
    <x v="2"/>
  </r>
  <r>
    <s v="TX501140"/>
    <x v="2"/>
    <x v="12"/>
    <n v="129.1"/>
    <x v="971"/>
    <x v="44"/>
    <d v="2025-02-24T00:00:00"/>
    <x v="1"/>
    <x v="0"/>
    <x v="1"/>
    <x v="0"/>
    <x v="3"/>
    <x v="14"/>
    <x v="6"/>
    <x v="1"/>
  </r>
  <r>
    <s v="TX501141"/>
    <x v="1"/>
    <x v="4"/>
    <n v="40.4"/>
    <x v="972"/>
    <x v="44"/>
    <d v="2025-02-15T00:00:00"/>
    <x v="1"/>
    <x v="1"/>
    <x v="1"/>
    <x v="0"/>
    <x v="3"/>
    <x v="3"/>
    <x v="6"/>
    <x v="1"/>
  </r>
  <r>
    <s v="TX501142"/>
    <x v="4"/>
    <x v="2"/>
    <n v="48.5"/>
    <x v="973"/>
    <x v="44"/>
    <d v="2025-02-16T00:00:00"/>
    <x v="2"/>
    <x v="0"/>
    <x v="4"/>
    <x v="0"/>
    <x v="3"/>
    <x v="1"/>
    <x v="6"/>
    <x v="2"/>
  </r>
  <r>
    <s v="TX501143"/>
    <x v="9"/>
    <x v="1"/>
    <n v="37.6"/>
    <x v="495"/>
    <x v="44"/>
    <d v="2025-02-16T00:00:00"/>
    <x v="2"/>
    <x v="1"/>
    <x v="2"/>
    <x v="0"/>
    <x v="3"/>
    <x v="1"/>
    <x v="6"/>
    <x v="2"/>
  </r>
  <r>
    <s v="TX501144"/>
    <x v="8"/>
    <x v="1"/>
    <n v="19.600000000000001"/>
    <x v="496"/>
    <x v="44"/>
    <d v="2025-02-15T00:00:00"/>
    <x v="1"/>
    <x v="3"/>
    <x v="4"/>
    <x v="0"/>
    <x v="43"/>
    <x v="3"/>
    <x v="6"/>
    <x v="1"/>
  </r>
  <r>
    <s v="TX501145"/>
    <x v="8"/>
    <x v="9"/>
    <n v="18.5"/>
    <x v="974"/>
    <x v="44"/>
    <d v="2025-02-15T00:00:00"/>
    <x v="2"/>
    <x v="2"/>
    <x v="1"/>
    <x v="0"/>
    <x v="6"/>
    <x v="3"/>
    <x v="6"/>
    <x v="2"/>
  </r>
  <r>
    <s v="TX501146"/>
    <x v="5"/>
    <x v="2"/>
    <n v="25.5"/>
    <x v="514"/>
    <x v="44"/>
    <d v="2025-02-16T00:00:00"/>
    <x v="2"/>
    <x v="4"/>
    <x v="1"/>
    <x v="0"/>
    <x v="6"/>
    <x v="1"/>
    <x v="6"/>
    <x v="2"/>
  </r>
  <r>
    <s v="TX501147"/>
    <x v="2"/>
    <x v="1"/>
    <n v="94.7"/>
    <x v="975"/>
    <x v="44"/>
    <d v="2025-02-15T00:00:00"/>
    <x v="2"/>
    <x v="2"/>
    <x v="0"/>
    <x v="0"/>
    <x v="36"/>
    <x v="3"/>
    <x v="6"/>
    <x v="2"/>
  </r>
  <r>
    <s v="TX501148"/>
    <x v="1"/>
    <x v="13"/>
    <n v="38.799999999999997"/>
    <x v="976"/>
    <x v="44"/>
    <d v="2025-02-19T00:00:00"/>
    <x v="2"/>
    <x v="2"/>
    <x v="2"/>
    <x v="0"/>
    <x v="8"/>
    <x v="0"/>
    <x v="6"/>
    <x v="2"/>
  </r>
  <r>
    <s v="TX501149"/>
    <x v="9"/>
    <x v="1"/>
    <n v="49.4"/>
    <x v="197"/>
    <x v="45"/>
    <d v="2025-02-23T00:00:00"/>
    <x v="1"/>
    <x v="4"/>
    <x v="1"/>
    <x v="0"/>
    <x v="8"/>
    <x v="9"/>
    <x v="6"/>
    <x v="1"/>
  </r>
  <r>
    <s v="TX501150"/>
    <x v="7"/>
    <x v="2"/>
    <n v="68"/>
    <x v="977"/>
    <x v="45"/>
    <d v="2025-02-18T00:00:00"/>
    <x v="1"/>
    <x v="0"/>
    <x v="2"/>
    <x v="0"/>
    <x v="8"/>
    <x v="2"/>
    <x v="6"/>
    <x v="1"/>
  </r>
  <r>
    <s v="TX501151"/>
    <x v="15"/>
    <x v="3"/>
    <n v="63.7"/>
    <x v="978"/>
    <x v="45"/>
    <d v="2025-02-16T00:00:00"/>
    <x v="2"/>
    <x v="2"/>
    <x v="2"/>
    <x v="0"/>
    <x v="8"/>
    <x v="3"/>
    <x v="6"/>
    <x v="2"/>
  </r>
  <r>
    <s v="TX501152"/>
    <x v="10"/>
    <x v="1"/>
    <n v="66.2"/>
    <x v="979"/>
    <x v="45"/>
    <d v="2025-02-16T00:00:00"/>
    <x v="2"/>
    <x v="4"/>
    <x v="2"/>
    <x v="0"/>
    <x v="17"/>
    <x v="3"/>
    <x v="6"/>
    <x v="2"/>
  </r>
  <r>
    <s v="TX501153"/>
    <x v="12"/>
    <x v="2"/>
    <n v="32.299999999999997"/>
    <x v="980"/>
    <x v="45"/>
    <d v="2025-02-16T00:00:00"/>
    <x v="3"/>
    <x v="2"/>
    <x v="1"/>
    <x v="0"/>
    <x v="9"/>
    <x v="3"/>
    <x v="6"/>
    <x v="3"/>
  </r>
  <r>
    <s v="TX501154"/>
    <x v="4"/>
    <x v="1"/>
    <n v="66.900000000000006"/>
    <x v="981"/>
    <x v="45"/>
    <d v="2025-02-18T00:00:00"/>
    <x v="1"/>
    <x v="1"/>
    <x v="0"/>
    <x v="0"/>
    <x v="11"/>
    <x v="2"/>
    <x v="6"/>
    <x v="1"/>
  </r>
  <r>
    <s v="TX501155"/>
    <x v="4"/>
    <x v="4"/>
    <n v="25.2"/>
    <x v="982"/>
    <x v="45"/>
    <d v="2025-02-19T00:00:00"/>
    <x v="2"/>
    <x v="0"/>
    <x v="1"/>
    <x v="0"/>
    <x v="11"/>
    <x v="5"/>
    <x v="6"/>
    <x v="2"/>
  </r>
  <r>
    <s v="TX501156"/>
    <x v="10"/>
    <x v="13"/>
    <n v="29.5"/>
    <x v="983"/>
    <x v="45"/>
    <d v="2025-02-16T00:00:00"/>
    <x v="1"/>
    <x v="2"/>
    <x v="0"/>
    <x v="0"/>
    <x v="11"/>
    <x v="3"/>
    <x v="6"/>
    <x v="1"/>
  </r>
  <r>
    <s v="TX501157"/>
    <x v="8"/>
    <x v="9"/>
    <n v="21.6"/>
    <x v="807"/>
    <x v="45"/>
    <d v="2025-02-17T00:00:00"/>
    <x v="2"/>
    <x v="0"/>
    <x v="2"/>
    <x v="0"/>
    <x v="32"/>
    <x v="1"/>
    <x v="6"/>
    <x v="2"/>
  </r>
  <r>
    <s v="TX501158"/>
    <x v="12"/>
    <x v="2"/>
    <n v="69"/>
    <x v="461"/>
    <x v="45"/>
    <d v="2025-02-16T00:00:00"/>
    <x v="2"/>
    <x v="0"/>
    <x v="0"/>
    <x v="0"/>
    <x v="18"/>
    <x v="3"/>
    <x v="6"/>
    <x v="2"/>
  </r>
  <r>
    <s v="TX501159"/>
    <x v="7"/>
    <x v="1"/>
    <n v="115"/>
    <x v="984"/>
    <x v="45"/>
    <d v="2025-02-19T00:00:00"/>
    <x v="1"/>
    <x v="0"/>
    <x v="2"/>
    <x v="0"/>
    <x v="18"/>
    <x v="5"/>
    <x v="6"/>
    <x v="1"/>
  </r>
  <r>
    <s v="TX501160"/>
    <x v="2"/>
    <x v="1"/>
    <n v="109.3"/>
    <x v="985"/>
    <x v="45"/>
    <d v="2025-02-17T00:00:00"/>
    <x v="0"/>
    <x v="3"/>
    <x v="1"/>
    <x v="0"/>
    <x v="19"/>
    <x v="1"/>
    <x v="6"/>
    <x v="0"/>
  </r>
  <r>
    <s v="TX501161"/>
    <x v="9"/>
    <x v="1"/>
    <n v="66.599999999999994"/>
    <x v="986"/>
    <x v="45"/>
    <d v="2025-02-18T00:00:00"/>
    <x v="0"/>
    <x v="4"/>
    <x v="1"/>
    <x v="0"/>
    <x v="19"/>
    <x v="2"/>
    <x v="6"/>
    <x v="0"/>
  </r>
  <r>
    <s v="TX501162"/>
    <x v="12"/>
    <x v="9"/>
    <n v="47.7"/>
    <x v="987"/>
    <x v="45"/>
    <d v="2025-02-16T00:00:00"/>
    <x v="1"/>
    <x v="3"/>
    <x v="2"/>
    <x v="0"/>
    <x v="21"/>
    <x v="3"/>
    <x v="6"/>
    <x v="1"/>
  </r>
  <r>
    <s v="TX501163"/>
    <x v="8"/>
    <x v="1"/>
    <n v="46"/>
    <x v="988"/>
    <x v="45"/>
    <d v="2025-02-16T00:00:00"/>
    <x v="2"/>
    <x v="4"/>
    <x v="4"/>
    <x v="0"/>
    <x v="22"/>
    <x v="3"/>
    <x v="6"/>
    <x v="2"/>
  </r>
  <r>
    <s v="TX501164"/>
    <x v="1"/>
    <x v="13"/>
    <n v="39.299999999999997"/>
    <x v="989"/>
    <x v="45"/>
    <d v="2025-02-17T00:00:00"/>
    <x v="1"/>
    <x v="3"/>
    <x v="2"/>
    <x v="0"/>
    <x v="3"/>
    <x v="1"/>
    <x v="6"/>
    <x v="1"/>
  </r>
  <r>
    <s v="TX501165"/>
    <x v="9"/>
    <x v="0"/>
    <n v="70.2"/>
    <x v="474"/>
    <x v="45"/>
    <d v="2025-02-16T00:00:00"/>
    <x v="2"/>
    <x v="0"/>
    <x v="4"/>
    <x v="0"/>
    <x v="3"/>
    <x v="3"/>
    <x v="6"/>
    <x v="2"/>
  </r>
  <r>
    <s v="TX501166"/>
    <x v="3"/>
    <x v="12"/>
    <n v="71.5"/>
    <x v="990"/>
    <x v="45"/>
    <d v="2025-02-15T00:00:00"/>
    <x v="2"/>
    <x v="1"/>
    <x v="2"/>
    <x v="0"/>
    <x v="3"/>
    <x v="7"/>
    <x v="6"/>
    <x v="2"/>
  </r>
  <r>
    <s v="TX501167"/>
    <x v="10"/>
    <x v="3"/>
    <n v="31"/>
    <x v="991"/>
    <x v="45"/>
    <d v="2025-02-22T00:00:00"/>
    <x v="2"/>
    <x v="3"/>
    <x v="2"/>
    <x v="0"/>
    <x v="3"/>
    <x v="6"/>
    <x v="6"/>
    <x v="2"/>
  </r>
  <r>
    <s v="TX501168"/>
    <x v="2"/>
    <x v="9"/>
    <n v="68.2"/>
    <x v="992"/>
    <x v="45"/>
    <d v="2025-02-20T00:00:00"/>
    <x v="2"/>
    <x v="0"/>
    <x v="2"/>
    <x v="0"/>
    <x v="3"/>
    <x v="0"/>
    <x v="6"/>
    <x v="2"/>
  </r>
  <r>
    <s v="TX501169"/>
    <x v="2"/>
    <x v="0"/>
    <n v="91.4"/>
    <x v="411"/>
    <x v="45"/>
    <d v="2025-02-19T00:00:00"/>
    <x v="2"/>
    <x v="1"/>
    <x v="2"/>
    <x v="0"/>
    <x v="6"/>
    <x v="5"/>
    <x v="6"/>
    <x v="2"/>
  </r>
  <r>
    <s v="TX501170"/>
    <x v="6"/>
    <x v="7"/>
    <n v="112.9"/>
    <x v="993"/>
    <x v="45"/>
    <d v="2025-02-16T00:00:00"/>
    <x v="2"/>
    <x v="0"/>
    <x v="0"/>
    <x v="0"/>
    <x v="6"/>
    <x v="3"/>
    <x v="6"/>
    <x v="2"/>
  </r>
  <r>
    <s v="TX501171"/>
    <x v="17"/>
    <x v="11"/>
    <n v="33.700000000000003"/>
    <x v="994"/>
    <x v="45"/>
    <d v="2025-02-16T00:00:00"/>
    <x v="2"/>
    <x v="1"/>
    <x v="2"/>
    <x v="0"/>
    <x v="8"/>
    <x v="3"/>
    <x v="6"/>
    <x v="2"/>
  </r>
  <r>
    <s v="TX501172"/>
    <x v="15"/>
    <x v="7"/>
    <n v="35.299999999999997"/>
    <x v="995"/>
    <x v="45"/>
    <d v="2025-02-17T00:00:00"/>
    <x v="1"/>
    <x v="2"/>
    <x v="0"/>
    <x v="0"/>
    <x v="8"/>
    <x v="1"/>
    <x v="6"/>
    <x v="1"/>
  </r>
  <r>
    <s v="TX501173"/>
    <x v="18"/>
    <x v="2"/>
    <n v="45.6"/>
    <x v="996"/>
    <x v="45"/>
    <d v="2025-02-19T00:00:00"/>
    <x v="1"/>
    <x v="3"/>
    <x v="0"/>
    <x v="0"/>
    <x v="8"/>
    <x v="5"/>
    <x v="6"/>
    <x v="1"/>
  </r>
  <r>
    <s v="TX501174"/>
    <x v="7"/>
    <x v="3"/>
    <n v="47.1"/>
    <x v="847"/>
    <x v="45"/>
    <d v="2025-02-16T00:00:00"/>
    <x v="2"/>
    <x v="4"/>
    <x v="2"/>
    <x v="0"/>
    <x v="9"/>
    <x v="3"/>
    <x v="6"/>
    <x v="2"/>
  </r>
  <r>
    <s v="TX501175"/>
    <x v="8"/>
    <x v="9"/>
    <n v="16.2"/>
    <x v="969"/>
    <x v="45"/>
    <d v="2025-02-17T00:00:00"/>
    <x v="2"/>
    <x v="3"/>
    <x v="2"/>
    <x v="0"/>
    <x v="19"/>
    <x v="1"/>
    <x v="6"/>
    <x v="2"/>
  </r>
  <r>
    <s v="TX501176"/>
    <x v="1"/>
    <x v="1"/>
    <n v="159.69999999999999"/>
    <x v="997"/>
    <x v="46"/>
    <d v="2025-02-17T00:00:00"/>
    <x v="1"/>
    <x v="4"/>
    <x v="0"/>
    <x v="0"/>
    <x v="13"/>
    <x v="3"/>
    <x v="7"/>
    <x v="1"/>
  </r>
  <r>
    <s v="TX501177"/>
    <x v="8"/>
    <x v="12"/>
    <n v="19"/>
    <x v="998"/>
    <x v="46"/>
    <d v="2025-02-23T00:00:00"/>
    <x v="2"/>
    <x v="2"/>
    <x v="2"/>
    <x v="0"/>
    <x v="21"/>
    <x v="6"/>
    <x v="7"/>
    <x v="2"/>
  </r>
  <r>
    <s v="TX501178"/>
    <x v="6"/>
    <x v="13"/>
    <n v="91.1"/>
    <x v="999"/>
    <x v="46"/>
    <d v="2025-02-25T00:00:00"/>
    <x v="2"/>
    <x v="4"/>
    <x v="0"/>
    <x v="0"/>
    <x v="21"/>
    <x v="8"/>
    <x v="7"/>
    <x v="2"/>
  </r>
  <r>
    <s v="TX501179"/>
    <x v="2"/>
    <x v="9"/>
    <n v="94.1"/>
    <x v="1000"/>
    <x v="46"/>
    <d v="2025-02-19T00:00:00"/>
    <x v="0"/>
    <x v="1"/>
    <x v="1"/>
    <x v="0"/>
    <x v="21"/>
    <x v="2"/>
    <x v="7"/>
    <x v="0"/>
  </r>
  <r>
    <s v="TX501180"/>
    <x v="9"/>
    <x v="11"/>
    <n v="21.1"/>
    <x v="1001"/>
    <x v="46"/>
    <d v="2025-02-17T00:00:00"/>
    <x v="2"/>
    <x v="4"/>
    <x v="2"/>
    <x v="0"/>
    <x v="51"/>
    <x v="3"/>
    <x v="7"/>
    <x v="2"/>
  </r>
  <r>
    <s v="TX501181"/>
    <x v="8"/>
    <x v="3"/>
    <n v="15.3"/>
    <x v="1002"/>
    <x v="46"/>
    <d v="2025-02-24T00:00:00"/>
    <x v="2"/>
    <x v="2"/>
    <x v="0"/>
    <x v="0"/>
    <x v="1"/>
    <x v="9"/>
    <x v="7"/>
    <x v="2"/>
  </r>
  <r>
    <s v="TX501182"/>
    <x v="15"/>
    <x v="12"/>
    <n v="21.3"/>
    <x v="464"/>
    <x v="46"/>
    <d v="2025-02-19T00:00:00"/>
    <x v="1"/>
    <x v="1"/>
    <x v="0"/>
    <x v="0"/>
    <x v="3"/>
    <x v="2"/>
    <x v="7"/>
    <x v="1"/>
  </r>
  <r>
    <s v="TX501183"/>
    <x v="0"/>
    <x v="1"/>
    <n v="23.2"/>
    <x v="434"/>
    <x v="46"/>
    <d v="2025-02-16T00:00:00"/>
    <x v="0"/>
    <x v="3"/>
    <x v="1"/>
    <x v="0"/>
    <x v="3"/>
    <x v="7"/>
    <x v="7"/>
    <x v="0"/>
  </r>
  <r>
    <s v="TX501184"/>
    <x v="4"/>
    <x v="2"/>
    <n v="25.7"/>
    <x v="1003"/>
    <x v="46"/>
    <d v="2025-02-17T00:00:00"/>
    <x v="1"/>
    <x v="4"/>
    <x v="0"/>
    <x v="0"/>
    <x v="3"/>
    <x v="3"/>
    <x v="7"/>
    <x v="1"/>
  </r>
  <r>
    <s v="TX501185"/>
    <x v="0"/>
    <x v="11"/>
    <n v="31.6"/>
    <x v="1004"/>
    <x v="46"/>
    <d v="2025-02-18T00:00:00"/>
    <x v="2"/>
    <x v="0"/>
    <x v="0"/>
    <x v="0"/>
    <x v="3"/>
    <x v="1"/>
    <x v="7"/>
    <x v="2"/>
  </r>
  <r>
    <s v="TX501186"/>
    <x v="6"/>
    <x v="0"/>
    <n v="64.2"/>
    <x v="1005"/>
    <x v="46"/>
    <d v="2025-02-21T00:00:00"/>
    <x v="1"/>
    <x v="0"/>
    <x v="0"/>
    <x v="0"/>
    <x v="3"/>
    <x v="0"/>
    <x v="7"/>
    <x v="1"/>
  </r>
  <r>
    <s v="TX501187"/>
    <x v="8"/>
    <x v="1"/>
    <n v="55.8"/>
    <x v="1006"/>
    <x v="46"/>
    <d v="2025-02-18T00:00:00"/>
    <x v="0"/>
    <x v="0"/>
    <x v="0"/>
    <x v="0"/>
    <x v="3"/>
    <x v="1"/>
    <x v="7"/>
    <x v="0"/>
  </r>
  <r>
    <s v="TX501188"/>
    <x v="8"/>
    <x v="1"/>
    <n v="28.1"/>
    <x v="1007"/>
    <x v="46"/>
    <d v="2025-02-17T00:00:00"/>
    <x v="2"/>
    <x v="4"/>
    <x v="1"/>
    <x v="0"/>
    <x v="3"/>
    <x v="3"/>
    <x v="7"/>
    <x v="2"/>
  </r>
  <r>
    <s v="TX501189"/>
    <x v="0"/>
    <x v="1"/>
    <n v="11.6"/>
    <x v="772"/>
    <x v="46"/>
    <d v="2025-02-18T00:00:00"/>
    <x v="2"/>
    <x v="1"/>
    <x v="0"/>
    <x v="0"/>
    <x v="24"/>
    <x v="1"/>
    <x v="7"/>
    <x v="2"/>
  </r>
  <r>
    <s v="TX501190"/>
    <x v="5"/>
    <x v="2"/>
    <n v="50.4"/>
    <x v="277"/>
    <x v="46"/>
    <d v="2025-02-17T00:00:00"/>
    <x v="1"/>
    <x v="4"/>
    <x v="2"/>
    <x v="0"/>
    <x v="25"/>
    <x v="3"/>
    <x v="7"/>
    <x v="1"/>
  </r>
  <r>
    <s v="TX501191"/>
    <x v="6"/>
    <x v="13"/>
    <n v="48.3"/>
    <x v="1008"/>
    <x v="46"/>
    <d v="2025-02-20T00:00:00"/>
    <x v="2"/>
    <x v="0"/>
    <x v="0"/>
    <x v="0"/>
    <x v="25"/>
    <x v="5"/>
    <x v="7"/>
    <x v="2"/>
  </r>
  <r>
    <s v="TX501192"/>
    <x v="17"/>
    <x v="3"/>
    <n v="32.200000000000003"/>
    <x v="1009"/>
    <x v="46"/>
    <d v="2025-02-18T00:00:00"/>
    <x v="2"/>
    <x v="2"/>
    <x v="0"/>
    <x v="0"/>
    <x v="25"/>
    <x v="1"/>
    <x v="7"/>
    <x v="2"/>
  </r>
  <r>
    <s v="TX501193"/>
    <x v="7"/>
    <x v="31"/>
    <n v="48.5"/>
    <x v="1010"/>
    <x v="46"/>
    <d v="2025-02-17T00:00:00"/>
    <x v="1"/>
    <x v="0"/>
    <x v="0"/>
    <x v="0"/>
    <x v="5"/>
    <x v="3"/>
    <x v="7"/>
    <x v="1"/>
  </r>
  <r>
    <s v="TX501194"/>
    <x v="2"/>
    <x v="9"/>
    <n v="62"/>
    <x v="892"/>
    <x v="46"/>
    <d v="2025-02-19T00:00:00"/>
    <x v="2"/>
    <x v="1"/>
    <x v="0"/>
    <x v="0"/>
    <x v="6"/>
    <x v="2"/>
    <x v="7"/>
    <x v="2"/>
  </r>
  <r>
    <s v="TX501195"/>
    <x v="8"/>
    <x v="2"/>
    <n v="32.1"/>
    <x v="219"/>
    <x v="47"/>
    <d v="2025-02-19T00:00:00"/>
    <x v="1"/>
    <x v="0"/>
    <x v="0"/>
    <x v="0"/>
    <x v="6"/>
    <x v="1"/>
    <x v="7"/>
    <x v="1"/>
  </r>
  <r>
    <s v="TX501196"/>
    <x v="12"/>
    <x v="2"/>
    <n v="106.1"/>
    <x v="1011"/>
    <x v="47"/>
    <d v="2025-02-19T00:00:00"/>
    <x v="1"/>
    <x v="0"/>
    <x v="1"/>
    <x v="0"/>
    <x v="7"/>
    <x v="1"/>
    <x v="7"/>
    <x v="1"/>
  </r>
  <r>
    <s v="TX501197"/>
    <x v="10"/>
    <x v="2"/>
    <n v="23.5"/>
    <x v="1012"/>
    <x v="47"/>
    <d v="2025-02-20T00:00:00"/>
    <x v="1"/>
    <x v="0"/>
    <x v="4"/>
    <x v="0"/>
    <x v="7"/>
    <x v="2"/>
    <x v="7"/>
    <x v="1"/>
  </r>
  <r>
    <s v="TX501198"/>
    <x v="1"/>
    <x v="1"/>
    <n v="35.6"/>
    <x v="1013"/>
    <x v="47"/>
    <d v="2025-02-22T00:00:00"/>
    <x v="1"/>
    <x v="4"/>
    <x v="0"/>
    <x v="0"/>
    <x v="8"/>
    <x v="0"/>
    <x v="7"/>
    <x v="1"/>
  </r>
  <r>
    <s v="TX501199"/>
    <x v="1"/>
    <x v="1"/>
    <n v="63.5"/>
    <x v="520"/>
    <x v="47"/>
    <d v="2025-02-17T00:00:00"/>
    <x v="2"/>
    <x v="1"/>
    <x v="2"/>
    <x v="0"/>
    <x v="8"/>
    <x v="7"/>
    <x v="7"/>
    <x v="2"/>
  </r>
  <r>
    <s v="TX501200"/>
    <x v="6"/>
    <x v="3"/>
    <n v="82.9"/>
    <x v="1014"/>
    <x v="47"/>
    <d v="2025-02-22T00:00:00"/>
    <x v="2"/>
    <x v="4"/>
    <x v="0"/>
    <x v="0"/>
    <x v="9"/>
    <x v="0"/>
    <x v="7"/>
    <x v="2"/>
  </r>
  <r>
    <s v="TX501201"/>
    <x v="6"/>
    <x v="1"/>
    <n v="83.6"/>
    <x v="762"/>
    <x v="47"/>
    <d v="2025-02-22T00:00:00"/>
    <x v="2"/>
    <x v="0"/>
    <x v="0"/>
    <x v="0"/>
    <x v="11"/>
    <x v="0"/>
    <x v="7"/>
    <x v="2"/>
  </r>
  <r>
    <s v="TX501202"/>
    <x v="4"/>
    <x v="1"/>
    <n v="29.4"/>
    <x v="572"/>
    <x v="47"/>
    <d v="2025-02-17T00:00:00"/>
    <x v="2"/>
    <x v="0"/>
    <x v="1"/>
    <x v="0"/>
    <x v="30"/>
    <x v="7"/>
    <x v="7"/>
    <x v="2"/>
  </r>
  <r>
    <s v="TX501203"/>
    <x v="2"/>
    <x v="2"/>
    <n v="107.1"/>
    <x v="1015"/>
    <x v="47"/>
    <d v="2025-02-21T00:00:00"/>
    <x v="2"/>
    <x v="2"/>
    <x v="0"/>
    <x v="0"/>
    <x v="20"/>
    <x v="5"/>
    <x v="7"/>
    <x v="2"/>
  </r>
  <r>
    <s v="TX501204"/>
    <x v="2"/>
    <x v="0"/>
    <n v="62.7"/>
    <x v="1016"/>
    <x v="47"/>
    <d v="2025-02-21T00:00:00"/>
    <x v="1"/>
    <x v="1"/>
    <x v="0"/>
    <x v="0"/>
    <x v="21"/>
    <x v="5"/>
    <x v="7"/>
    <x v="1"/>
  </r>
  <r>
    <s v="TX501205"/>
    <x v="11"/>
    <x v="0"/>
    <n v="41.6"/>
    <x v="480"/>
    <x v="47"/>
    <d v="2025-02-18T00:00:00"/>
    <x v="1"/>
    <x v="0"/>
    <x v="1"/>
    <x v="0"/>
    <x v="1"/>
    <x v="3"/>
    <x v="7"/>
    <x v="1"/>
  </r>
  <r>
    <s v="TX501206"/>
    <x v="6"/>
    <x v="0"/>
    <n v="44.2"/>
    <x v="573"/>
    <x v="47"/>
    <d v="2025-02-18T00:00:00"/>
    <x v="3"/>
    <x v="0"/>
    <x v="1"/>
    <x v="0"/>
    <x v="1"/>
    <x v="3"/>
    <x v="7"/>
    <x v="3"/>
  </r>
  <r>
    <s v="TX501207"/>
    <x v="4"/>
    <x v="13"/>
    <n v="40.4"/>
    <x v="1017"/>
    <x v="47"/>
    <d v="2025-03-02T00:00:00"/>
    <x v="2"/>
    <x v="2"/>
    <x v="0"/>
    <x v="0"/>
    <x v="22"/>
    <x v="10"/>
    <x v="7"/>
    <x v="2"/>
  </r>
  <r>
    <s v="TX501208"/>
    <x v="15"/>
    <x v="13"/>
    <n v="59.6"/>
    <x v="1018"/>
    <x v="47"/>
    <d v="2025-02-18T00:00:00"/>
    <x v="2"/>
    <x v="4"/>
    <x v="0"/>
    <x v="0"/>
    <x v="34"/>
    <x v="3"/>
    <x v="7"/>
    <x v="2"/>
  </r>
  <r>
    <s v="TX501209"/>
    <x v="17"/>
    <x v="4"/>
    <n v="63.8"/>
    <x v="1019"/>
    <x v="47"/>
    <d v="2025-02-18T00:00:00"/>
    <x v="1"/>
    <x v="1"/>
    <x v="0"/>
    <x v="0"/>
    <x v="3"/>
    <x v="3"/>
    <x v="7"/>
    <x v="1"/>
  </r>
  <r>
    <s v="TX501210"/>
    <x v="9"/>
    <x v="13"/>
    <n v="30.8"/>
    <x v="827"/>
    <x v="47"/>
    <d v="2025-02-19T00:00:00"/>
    <x v="1"/>
    <x v="4"/>
    <x v="0"/>
    <x v="0"/>
    <x v="3"/>
    <x v="1"/>
    <x v="7"/>
    <x v="1"/>
  </r>
  <r>
    <s v="TX501211"/>
    <x v="1"/>
    <x v="1"/>
    <n v="41.5"/>
    <x v="470"/>
    <x v="47"/>
    <d v="2025-02-20T00:00:00"/>
    <x v="3"/>
    <x v="0"/>
    <x v="0"/>
    <x v="0"/>
    <x v="3"/>
    <x v="2"/>
    <x v="7"/>
    <x v="3"/>
  </r>
  <r>
    <s v="TX501212"/>
    <x v="10"/>
    <x v="12"/>
    <n v="44.7"/>
    <x v="1020"/>
    <x v="47"/>
    <d v="2025-02-19T00:00:00"/>
    <x v="2"/>
    <x v="2"/>
    <x v="1"/>
    <x v="0"/>
    <x v="3"/>
    <x v="1"/>
    <x v="7"/>
    <x v="2"/>
  </r>
  <r>
    <s v="TX501213"/>
    <x v="12"/>
    <x v="1"/>
    <n v="64.099999999999994"/>
    <x v="618"/>
    <x v="47"/>
    <d v="2025-02-21T00:00:00"/>
    <x v="2"/>
    <x v="1"/>
    <x v="4"/>
    <x v="0"/>
    <x v="3"/>
    <x v="5"/>
    <x v="7"/>
    <x v="2"/>
  </r>
  <r>
    <s v="TX501214"/>
    <x v="8"/>
    <x v="0"/>
    <n v="15.9"/>
    <x v="1021"/>
    <x v="47"/>
    <d v="2025-02-20T00:00:00"/>
    <x v="0"/>
    <x v="1"/>
    <x v="0"/>
    <x v="0"/>
    <x v="3"/>
    <x v="2"/>
    <x v="7"/>
    <x v="0"/>
  </r>
  <r>
    <s v="TX501215"/>
    <x v="6"/>
    <x v="1"/>
    <n v="78.7"/>
    <x v="1022"/>
    <x v="47"/>
    <d v="2025-02-17T00:00:00"/>
    <x v="2"/>
    <x v="2"/>
    <x v="1"/>
    <x v="0"/>
    <x v="3"/>
    <x v="7"/>
    <x v="7"/>
    <x v="2"/>
  </r>
  <r>
    <s v="TX501216"/>
    <x v="5"/>
    <x v="4"/>
    <n v="29.6"/>
    <x v="1023"/>
    <x v="47"/>
    <d v="2025-02-21T00:00:00"/>
    <x v="1"/>
    <x v="2"/>
    <x v="4"/>
    <x v="0"/>
    <x v="3"/>
    <x v="5"/>
    <x v="7"/>
    <x v="1"/>
  </r>
  <r>
    <s v="TX501217"/>
    <x v="8"/>
    <x v="12"/>
    <n v="21.5"/>
    <x v="1024"/>
    <x v="47"/>
    <d v="2025-02-20T00:00:00"/>
    <x v="1"/>
    <x v="1"/>
    <x v="0"/>
    <x v="0"/>
    <x v="3"/>
    <x v="2"/>
    <x v="7"/>
    <x v="1"/>
  </r>
  <r>
    <s v="TX501218"/>
    <x v="9"/>
    <x v="2"/>
    <n v="74.900000000000006"/>
    <x v="890"/>
    <x v="47"/>
    <d v="2025-02-26T00:00:00"/>
    <x v="1"/>
    <x v="3"/>
    <x v="1"/>
    <x v="0"/>
    <x v="3"/>
    <x v="8"/>
    <x v="7"/>
    <x v="1"/>
  </r>
  <r>
    <s v="TX501219"/>
    <x v="10"/>
    <x v="13"/>
    <n v="45"/>
    <x v="843"/>
    <x v="47"/>
    <d v="2025-02-22T00:00:00"/>
    <x v="2"/>
    <x v="2"/>
    <x v="0"/>
    <x v="0"/>
    <x v="3"/>
    <x v="0"/>
    <x v="7"/>
    <x v="2"/>
  </r>
  <r>
    <s v="TX501220"/>
    <x v="7"/>
    <x v="33"/>
    <n v="37.9"/>
    <x v="1025"/>
    <x v="47"/>
    <d v="2025-02-18T00:00:00"/>
    <x v="1"/>
    <x v="0"/>
    <x v="0"/>
    <x v="0"/>
    <x v="3"/>
    <x v="3"/>
    <x v="7"/>
    <x v="1"/>
  </r>
  <r>
    <s v="TX501221"/>
    <x v="6"/>
    <x v="2"/>
    <n v="56.6"/>
    <x v="1026"/>
    <x v="47"/>
    <d v="2025-02-18T00:00:00"/>
    <x v="1"/>
    <x v="3"/>
    <x v="0"/>
    <x v="0"/>
    <x v="3"/>
    <x v="3"/>
    <x v="7"/>
    <x v="1"/>
  </r>
  <r>
    <s v="TX501222"/>
    <x v="3"/>
    <x v="15"/>
    <n v="84.5"/>
    <x v="1027"/>
    <x v="47"/>
    <d v="2025-02-20T00:00:00"/>
    <x v="2"/>
    <x v="1"/>
    <x v="4"/>
    <x v="0"/>
    <x v="3"/>
    <x v="2"/>
    <x v="7"/>
    <x v="2"/>
  </r>
  <r>
    <s v="TX501223"/>
    <x v="2"/>
    <x v="9"/>
    <n v="105.4"/>
    <x v="1028"/>
    <x v="47"/>
    <d v="2025-02-19T00:00:00"/>
    <x v="2"/>
    <x v="1"/>
    <x v="1"/>
    <x v="0"/>
    <x v="3"/>
    <x v="1"/>
    <x v="7"/>
    <x v="2"/>
  </r>
  <r>
    <s v="TX501224"/>
    <x v="18"/>
    <x v="3"/>
    <n v="39.4"/>
    <x v="1029"/>
    <x v="48"/>
    <d v="2025-02-18T00:00:00"/>
    <x v="1"/>
    <x v="1"/>
    <x v="0"/>
    <x v="0"/>
    <x v="37"/>
    <x v="7"/>
    <x v="7"/>
    <x v="1"/>
  </r>
  <r>
    <s v="TX501225"/>
    <x v="19"/>
    <x v="2"/>
    <n v="38"/>
    <x v="717"/>
    <x v="48"/>
    <d v="2025-02-21T00:00:00"/>
    <x v="1"/>
    <x v="4"/>
    <x v="1"/>
    <x v="0"/>
    <x v="6"/>
    <x v="2"/>
    <x v="7"/>
    <x v="1"/>
  </r>
  <r>
    <s v="TX501226"/>
    <x v="17"/>
    <x v="12"/>
    <n v="42.5"/>
    <x v="393"/>
    <x v="48"/>
    <d v="2025-02-20T00:00:00"/>
    <x v="0"/>
    <x v="0"/>
    <x v="0"/>
    <x v="0"/>
    <x v="6"/>
    <x v="1"/>
    <x v="7"/>
    <x v="0"/>
  </r>
  <r>
    <s v="TX501227"/>
    <x v="15"/>
    <x v="0"/>
    <n v="62.3"/>
    <x v="1030"/>
    <x v="48"/>
    <d v="2025-02-27T00:00:00"/>
    <x v="1"/>
    <x v="0"/>
    <x v="2"/>
    <x v="0"/>
    <x v="6"/>
    <x v="8"/>
    <x v="7"/>
    <x v="1"/>
  </r>
  <r>
    <s v="TX501228"/>
    <x v="6"/>
    <x v="9"/>
    <n v="49.1"/>
    <x v="1031"/>
    <x v="48"/>
    <d v="2025-02-20T00:00:00"/>
    <x v="2"/>
    <x v="1"/>
    <x v="2"/>
    <x v="0"/>
    <x v="7"/>
    <x v="1"/>
    <x v="7"/>
    <x v="2"/>
  </r>
  <r>
    <s v="TX501229"/>
    <x v="3"/>
    <x v="1"/>
    <n v="30.5"/>
    <x v="170"/>
    <x v="48"/>
    <d v="2025-02-21T00:00:00"/>
    <x v="1"/>
    <x v="0"/>
    <x v="2"/>
    <x v="0"/>
    <x v="8"/>
    <x v="2"/>
    <x v="7"/>
    <x v="1"/>
  </r>
  <r>
    <s v="TX501230"/>
    <x v="2"/>
    <x v="1"/>
    <n v="154.80000000000001"/>
    <x v="141"/>
    <x v="48"/>
    <d v="2025-02-21T00:00:00"/>
    <x v="2"/>
    <x v="1"/>
    <x v="4"/>
    <x v="0"/>
    <x v="8"/>
    <x v="2"/>
    <x v="7"/>
    <x v="2"/>
  </r>
  <r>
    <s v="TX501231"/>
    <x v="6"/>
    <x v="0"/>
    <n v="45"/>
    <x v="583"/>
    <x v="48"/>
    <d v="2025-02-22T00:00:00"/>
    <x v="1"/>
    <x v="3"/>
    <x v="1"/>
    <x v="0"/>
    <x v="8"/>
    <x v="5"/>
    <x v="7"/>
    <x v="1"/>
  </r>
  <r>
    <s v="TX501232"/>
    <x v="0"/>
    <x v="3"/>
    <n v="15.3"/>
    <x v="1002"/>
    <x v="48"/>
    <d v="2025-02-19T00:00:00"/>
    <x v="1"/>
    <x v="0"/>
    <x v="2"/>
    <x v="0"/>
    <x v="8"/>
    <x v="3"/>
    <x v="7"/>
    <x v="1"/>
  </r>
  <r>
    <s v="TX501233"/>
    <x v="2"/>
    <x v="5"/>
    <n v="88.6"/>
    <x v="1032"/>
    <x v="48"/>
    <d v="2025-02-21T00:00:00"/>
    <x v="2"/>
    <x v="0"/>
    <x v="4"/>
    <x v="0"/>
    <x v="17"/>
    <x v="2"/>
    <x v="7"/>
    <x v="2"/>
  </r>
  <r>
    <s v="TX501234"/>
    <x v="9"/>
    <x v="1"/>
    <n v="49.7"/>
    <x v="1033"/>
    <x v="48"/>
    <d v="2025-02-20T00:00:00"/>
    <x v="3"/>
    <x v="4"/>
    <x v="0"/>
    <x v="0"/>
    <x v="10"/>
    <x v="1"/>
    <x v="7"/>
    <x v="3"/>
  </r>
  <r>
    <s v="TX501235"/>
    <x v="10"/>
    <x v="0"/>
    <n v="29"/>
    <x v="1034"/>
    <x v="48"/>
    <d v="2025-02-19T00:00:00"/>
    <x v="1"/>
    <x v="0"/>
    <x v="0"/>
    <x v="0"/>
    <x v="11"/>
    <x v="3"/>
    <x v="7"/>
    <x v="1"/>
  </r>
  <r>
    <s v="TX501236"/>
    <x v="1"/>
    <x v="0"/>
    <n v="60.7"/>
    <x v="1035"/>
    <x v="48"/>
    <d v="2025-02-19T00:00:00"/>
    <x v="3"/>
    <x v="0"/>
    <x v="1"/>
    <x v="0"/>
    <x v="11"/>
    <x v="3"/>
    <x v="7"/>
    <x v="3"/>
  </r>
  <r>
    <s v="TX501237"/>
    <x v="17"/>
    <x v="12"/>
    <n v="87.4"/>
    <x v="1036"/>
    <x v="48"/>
    <d v="2025-02-20T00:00:00"/>
    <x v="0"/>
    <x v="0"/>
    <x v="0"/>
    <x v="0"/>
    <x v="11"/>
    <x v="1"/>
    <x v="7"/>
    <x v="0"/>
  </r>
  <r>
    <s v="TX501238"/>
    <x v="4"/>
    <x v="3"/>
    <n v="44.5"/>
    <x v="1037"/>
    <x v="48"/>
    <d v="2025-02-22T00:00:00"/>
    <x v="2"/>
    <x v="2"/>
    <x v="2"/>
    <x v="0"/>
    <x v="19"/>
    <x v="5"/>
    <x v="7"/>
    <x v="2"/>
  </r>
  <r>
    <s v="TX501239"/>
    <x v="2"/>
    <x v="0"/>
    <n v="141"/>
    <x v="1038"/>
    <x v="48"/>
    <d v="2025-02-19T00:00:00"/>
    <x v="1"/>
    <x v="4"/>
    <x v="2"/>
    <x v="0"/>
    <x v="19"/>
    <x v="3"/>
    <x v="7"/>
    <x v="1"/>
  </r>
  <r>
    <s v="TX501240"/>
    <x v="0"/>
    <x v="2"/>
    <n v="16.7"/>
    <x v="1039"/>
    <x v="48"/>
    <d v="2025-02-26T00:00:00"/>
    <x v="2"/>
    <x v="0"/>
    <x v="0"/>
    <x v="0"/>
    <x v="20"/>
    <x v="9"/>
    <x v="7"/>
    <x v="2"/>
  </r>
  <r>
    <s v="TX501241"/>
    <x v="1"/>
    <x v="1"/>
    <n v="77.5"/>
    <x v="1040"/>
    <x v="48"/>
    <d v="2025-02-19T00:00:00"/>
    <x v="0"/>
    <x v="2"/>
    <x v="2"/>
    <x v="0"/>
    <x v="13"/>
    <x v="3"/>
    <x v="7"/>
    <x v="0"/>
  </r>
  <r>
    <s v="TX501242"/>
    <x v="2"/>
    <x v="1"/>
    <n v="163"/>
    <x v="1041"/>
    <x v="48"/>
    <d v="2025-02-24T00:00:00"/>
    <x v="2"/>
    <x v="4"/>
    <x v="0"/>
    <x v="0"/>
    <x v="21"/>
    <x v="4"/>
    <x v="7"/>
    <x v="2"/>
  </r>
  <r>
    <s v="TX501243"/>
    <x v="4"/>
    <x v="11"/>
    <n v="21.4"/>
    <x v="1042"/>
    <x v="48"/>
    <d v="2025-02-21T00:00:00"/>
    <x v="2"/>
    <x v="0"/>
    <x v="0"/>
    <x v="0"/>
    <x v="51"/>
    <x v="2"/>
    <x v="7"/>
    <x v="2"/>
  </r>
  <r>
    <s v="TX501244"/>
    <x v="10"/>
    <x v="5"/>
    <n v="31"/>
    <x v="992"/>
    <x v="48"/>
    <d v="2025-02-20T00:00:00"/>
    <x v="2"/>
    <x v="3"/>
    <x v="2"/>
    <x v="0"/>
    <x v="1"/>
    <x v="1"/>
    <x v="7"/>
    <x v="2"/>
  </r>
  <r>
    <s v="TX501245"/>
    <x v="7"/>
    <x v="1"/>
    <n v="34.299999999999997"/>
    <x v="1043"/>
    <x v="48"/>
    <d v="2025-02-20T00:00:00"/>
    <x v="2"/>
    <x v="0"/>
    <x v="3"/>
    <x v="0"/>
    <x v="1"/>
    <x v="1"/>
    <x v="7"/>
    <x v="2"/>
  </r>
  <r>
    <s v="TX501246"/>
    <x v="17"/>
    <x v="9"/>
    <n v="48.2"/>
    <x v="1044"/>
    <x v="48"/>
    <d v="2025-02-19T00:00:00"/>
    <x v="1"/>
    <x v="1"/>
    <x v="1"/>
    <x v="0"/>
    <x v="2"/>
    <x v="3"/>
    <x v="7"/>
    <x v="1"/>
  </r>
  <r>
    <s v="TX501247"/>
    <x v="10"/>
    <x v="0"/>
    <n v="51.4"/>
    <x v="1045"/>
    <x v="48"/>
    <d v="2025-02-19T00:00:00"/>
    <x v="1"/>
    <x v="0"/>
    <x v="0"/>
    <x v="0"/>
    <x v="3"/>
    <x v="3"/>
    <x v="7"/>
    <x v="1"/>
  </r>
  <r>
    <s v="TX501248"/>
    <x v="2"/>
    <x v="9"/>
    <n v="117.2"/>
    <x v="1046"/>
    <x v="48"/>
    <d v="2025-02-21T00:00:00"/>
    <x v="2"/>
    <x v="4"/>
    <x v="4"/>
    <x v="0"/>
    <x v="3"/>
    <x v="2"/>
    <x v="7"/>
    <x v="2"/>
  </r>
  <r>
    <s v="TX501249"/>
    <x v="8"/>
    <x v="0"/>
    <n v="38.1"/>
    <x v="220"/>
    <x v="48"/>
    <d v="2025-02-18T00:00:00"/>
    <x v="1"/>
    <x v="4"/>
    <x v="1"/>
    <x v="0"/>
    <x v="3"/>
    <x v="7"/>
    <x v="7"/>
    <x v="1"/>
  </r>
  <r>
    <s v="TX501250"/>
    <x v="0"/>
    <x v="1"/>
    <n v="44.1"/>
    <x v="1047"/>
    <x v="48"/>
    <d v="2025-02-20T00:00:00"/>
    <x v="2"/>
    <x v="2"/>
    <x v="0"/>
    <x v="0"/>
    <x v="3"/>
    <x v="1"/>
    <x v="7"/>
    <x v="2"/>
  </r>
  <r>
    <s v="TX501251"/>
    <x v="15"/>
    <x v="12"/>
    <n v="80.5"/>
    <x v="310"/>
    <x v="48"/>
    <d v="2025-02-23T00:00:00"/>
    <x v="1"/>
    <x v="0"/>
    <x v="0"/>
    <x v="0"/>
    <x v="3"/>
    <x v="0"/>
    <x v="7"/>
    <x v="1"/>
  </r>
  <r>
    <s v="TX501252"/>
    <x v="18"/>
    <x v="12"/>
    <n v="33.6"/>
    <x v="1048"/>
    <x v="48"/>
    <d v="2025-02-23T00:00:00"/>
    <x v="0"/>
    <x v="0"/>
    <x v="2"/>
    <x v="0"/>
    <x v="3"/>
    <x v="0"/>
    <x v="7"/>
    <x v="0"/>
  </r>
  <r>
    <s v="TX501253"/>
    <x v="9"/>
    <x v="11"/>
    <n v="41.8"/>
    <x v="82"/>
    <x v="48"/>
    <d v="2025-02-19T00:00:00"/>
    <x v="2"/>
    <x v="0"/>
    <x v="1"/>
    <x v="0"/>
    <x v="3"/>
    <x v="3"/>
    <x v="7"/>
    <x v="2"/>
  </r>
  <r>
    <s v="TX501254"/>
    <x v="1"/>
    <x v="1"/>
    <n v="106.2"/>
    <x v="230"/>
    <x v="48"/>
    <d v="2025-02-18T00:00:00"/>
    <x v="2"/>
    <x v="4"/>
    <x v="2"/>
    <x v="0"/>
    <x v="3"/>
    <x v="7"/>
    <x v="7"/>
    <x v="2"/>
  </r>
  <r>
    <s v="TX501255"/>
    <x v="1"/>
    <x v="1"/>
    <n v="52.6"/>
    <x v="1049"/>
    <x v="48"/>
    <d v="2025-02-19T00:00:00"/>
    <x v="2"/>
    <x v="0"/>
    <x v="2"/>
    <x v="0"/>
    <x v="5"/>
    <x v="3"/>
    <x v="7"/>
    <x v="2"/>
  </r>
  <r>
    <s v="TX501256"/>
    <x v="11"/>
    <x v="3"/>
    <n v="68.5"/>
    <x v="1050"/>
    <x v="48"/>
    <d v="2025-02-19T00:00:00"/>
    <x v="2"/>
    <x v="1"/>
    <x v="0"/>
    <x v="0"/>
    <x v="5"/>
    <x v="3"/>
    <x v="7"/>
    <x v="2"/>
  </r>
  <r>
    <s v="TX501257"/>
    <x v="1"/>
    <x v="1"/>
    <n v="55.6"/>
    <x v="622"/>
    <x v="48"/>
    <d v="2025-02-20T00:00:00"/>
    <x v="1"/>
    <x v="1"/>
    <x v="2"/>
    <x v="0"/>
    <x v="6"/>
    <x v="1"/>
    <x v="7"/>
    <x v="1"/>
  </r>
  <r>
    <s v="TX501258"/>
    <x v="2"/>
    <x v="2"/>
    <n v="134.9"/>
    <x v="1051"/>
    <x v="48"/>
    <d v="2025-02-19T00:00:00"/>
    <x v="1"/>
    <x v="1"/>
    <x v="1"/>
    <x v="0"/>
    <x v="6"/>
    <x v="3"/>
    <x v="7"/>
    <x v="1"/>
  </r>
  <r>
    <s v="TX501259"/>
    <x v="10"/>
    <x v="9"/>
    <n v="42.6"/>
    <x v="226"/>
    <x v="48"/>
    <d v="2025-02-19T00:00:00"/>
    <x v="1"/>
    <x v="0"/>
    <x v="0"/>
    <x v="0"/>
    <x v="6"/>
    <x v="3"/>
    <x v="7"/>
    <x v="1"/>
  </r>
  <r>
    <s v="TX501260"/>
    <x v="7"/>
    <x v="9"/>
    <n v="60.6"/>
    <x v="1052"/>
    <x v="48"/>
    <d v="2025-02-20T00:00:00"/>
    <x v="1"/>
    <x v="4"/>
    <x v="0"/>
    <x v="0"/>
    <x v="6"/>
    <x v="1"/>
    <x v="7"/>
    <x v="1"/>
  </r>
  <r>
    <s v="TX501261"/>
    <x v="8"/>
    <x v="1"/>
    <n v="43.5"/>
    <x v="1053"/>
    <x v="48"/>
    <d v="2025-02-19T00:00:00"/>
    <x v="1"/>
    <x v="4"/>
    <x v="0"/>
    <x v="0"/>
    <x v="7"/>
    <x v="3"/>
    <x v="7"/>
    <x v="1"/>
  </r>
  <r>
    <s v="TX501262"/>
    <x v="2"/>
    <x v="1"/>
    <n v="187.1"/>
    <x v="1054"/>
    <x v="48"/>
    <d v="2025-02-19T00:00:00"/>
    <x v="1"/>
    <x v="1"/>
    <x v="2"/>
    <x v="0"/>
    <x v="8"/>
    <x v="3"/>
    <x v="7"/>
    <x v="1"/>
  </r>
  <r>
    <s v="TX501263"/>
    <x v="9"/>
    <x v="2"/>
    <n v="32"/>
    <x v="854"/>
    <x v="48"/>
    <d v="2025-02-20T00:00:00"/>
    <x v="1"/>
    <x v="0"/>
    <x v="0"/>
    <x v="0"/>
    <x v="8"/>
    <x v="1"/>
    <x v="7"/>
    <x v="1"/>
  </r>
  <r>
    <s v="TX501264"/>
    <x v="9"/>
    <x v="1"/>
    <n v="110.8"/>
    <x v="1055"/>
    <x v="48"/>
    <d v="2025-02-18T00:00:00"/>
    <x v="1"/>
    <x v="0"/>
    <x v="2"/>
    <x v="0"/>
    <x v="8"/>
    <x v="7"/>
    <x v="7"/>
    <x v="1"/>
  </r>
  <r>
    <s v="TX501265"/>
    <x v="10"/>
    <x v="15"/>
    <n v="36.1"/>
    <x v="1056"/>
    <x v="48"/>
    <d v="2025-02-21T00:00:00"/>
    <x v="2"/>
    <x v="0"/>
    <x v="1"/>
    <x v="0"/>
    <x v="8"/>
    <x v="2"/>
    <x v="7"/>
    <x v="2"/>
  </r>
  <r>
    <s v="TX501266"/>
    <x v="0"/>
    <x v="0"/>
    <n v="24.1"/>
    <x v="1057"/>
    <x v="48"/>
    <d v="2025-02-20T00:00:00"/>
    <x v="2"/>
    <x v="4"/>
    <x v="2"/>
    <x v="0"/>
    <x v="8"/>
    <x v="1"/>
    <x v="7"/>
    <x v="2"/>
  </r>
  <r>
    <s v="TX501267"/>
    <x v="19"/>
    <x v="2"/>
    <n v="30.5"/>
    <x v="1058"/>
    <x v="48"/>
    <d v="2025-02-20T00:00:00"/>
    <x v="1"/>
    <x v="1"/>
    <x v="0"/>
    <x v="0"/>
    <x v="8"/>
    <x v="1"/>
    <x v="7"/>
    <x v="1"/>
  </r>
  <r>
    <s v="TX501268"/>
    <x v="18"/>
    <x v="13"/>
    <n v="68.3"/>
    <x v="1059"/>
    <x v="48"/>
    <d v="2025-02-21T00:00:00"/>
    <x v="1"/>
    <x v="0"/>
    <x v="0"/>
    <x v="0"/>
    <x v="8"/>
    <x v="2"/>
    <x v="7"/>
    <x v="1"/>
  </r>
  <r>
    <s v="TX501269"/>
    <x v="7"/>
    <x v="2"/>
    <n v="43.3"/>
    <x v="1060"/>
    <x v="48"/>
    <d v="2025-02-22T00:00:00"/>
    <x v="2"/>
    <x v="0"/>
    <x v="0"/>
    <x v="0"/>
    <x v="17"/>
    <x v="5"/>
    <x v="7"/>
    <x v="2"/>
  </r>
  <r>
    <s v="TX501270"/>
    <x v="3"/>
    <x v="0"/>
    <n v="101.7"/>
    <x v="530"/>
    <x v="48"/>
    <d v="2025-02-21T00:00:00"/>
    <x v="2"/>
    <x v="0"/>
    <x v="1"/>
    <x v="0"/>
    <x v="17"/>
    <x v="2"/>
    <x v="7"/>
    <x v="2"/>
  </r>
  <r>
    <s v="TX501271"/>
    <x v="11"/>
    <x v="1"/>
    <n v="54.2"/>
    <x v="1061"/>
    <x v="48"/>
    <d v="2025-02-19T00:00:00"/>
    <x v="2"/>
    <x v="0"/>
    <x v="1"/>
    <x v="0"/>
    <x v="17"/>
    <x v="3"/>
    <x v="7"/>
    <x v="2"/>
  </r>
  <r>
    <s v="TX501272"/>
    <x v="16"/>
    <x v="1"/>
    <n v="51"/>
    <x v="1062"/>
    <x v="48"/>
    <d v="2025-02-18T00:00:00"/>
    <x v="1"/>
    <x v="1"/>
    <x v="0"/>
    <x v="0"/>
    <x v="26"/>
    <x v="7"/>
    <x v="7"/>
    <x v="1"/>
  </r>
  <r>
    <s v="TX501273"/>
    <x v="4"/>
    <x v="1"/>
    <n v="23.1"/>
    <x v="1063"/>
    <x v="48"/>
    <d v="2025-02-21T00:00:00"/>
    <x v="1"/>
    <x v="1"/>
    <x v="0"/>
    <x v="0"/>
    <x v="10"/>
    <x v="2"/>
    <x v="7"/>
    <x v="1"/>
  </r>
  <r>
    <s v="TX501274"/>
    <x v="12"/>
    <x v="13"/>
    <n v="60.1"/>
    <x v="116"/>
    <x v="48"/>
    <d v="2025-02-18T00:00:00"/>
    <x v="2"/>
    <x v="3"/>
    <x v="0"/>
    <x v="0"/>
    <x v="11"/>
    <x v="7"/>
    <x v="7"/>
    <x v="2"/>
  </r>
  <r>
    <s v="TX501275"/>
    <x v="2"/>
    <x v="3"/>
    <n v="87.5"/>
    <x v="1064"/>
    <x v="48"/>
    <d v="2025-02-20T00:00:00"/>
    <x v="2"/>
    <x v="0"/>
    <x v="1"/>
    <x v="0"/>
    <x v="11"/>
    <x v="1"/>
    <x v="7"/>
    <x v="2"/>
  </r>
  <r>
    <s v="TX501276"/>
    <x v="1"/>
    <x v="2"/>
    <n v="51"/>
    <x v="1065"/>
    <x v="48"/>
    <d v="2025-02-19T00:00:00"/>
    <x v="2"/>
    <x v="1"/>
    <x v="0"/>
    <x v="0"/>
    <x v="11"/>
    <x v="3"/>
    <x v="7"/>
    <x v="2"/>
  </r>
  <r>
    <s v="TX501277"/>
    <x v="8"/>
    <x v="12"/>
    <n v="19.2"/>
    <x v="714"/>
    <x v="48"/>
    <d v="2025-02-20T00:00:00"/>
    <x v="2"/>
    <x v="0"/>
    <x v="0"/>
    <x v="0"/>
    <x v="11"/>
    <x v="1"/>
    <x v="7"/>
    <x v="2"/>
  </r>
  <r>
    <s v="TX501278"/>
    <x v="5"/>
    <x v="8"/>
    <n v="26.5"/>
    <x v="1066"/>
    <x v="48"/>
    <d v="2025-02-19T00:00:00"/>
    <x v="0"/>
    <x v="3"/>
    <x v="2"/>
    <x v="0"/>
    <x v="11"/>
    <x v="3"/>
    <x v="7"/>
    <x v="0"/>
  </r>
  <r>
    <s v="TX501279"/>
    <x v="2"/>
    <x v="1"/>
    <n v="220.3"/>
    <x v="1067"/>
    <x v="48"/>
    <d v="2025-02-19T00:00:00"/>
    <x v="2"/>
    <x v="1"/>
    <x v="4"/>
    <x v="0"/>
    <x v="53"/>
    <x v="3"/>
    <x v="7"/>
    <x v="2"/>
  </r>
  <r>
    <s v="TX501280"/>
    <x v="8"/>
    <x v="2"/>
    <n v="45.7"/>
    <x v="1068"/>
    <x v="48"/>
    <d v="2025-02-19T00:00:00"/>
    <x v="2"/>
    <x v="4"/>
    <x v="0"/>
    <x v="0"/>
    <x v="30"/>
    <x v="3"/>
    <x v="7"/>
    <x v="2"/>
  </r>
  <r>
    <s v="TX501281"/>
    <x v="5"/>
    <x v="9"/>
    <n v="47.1"/>
    <x v="1069"/>
    <x v="48"/>
    <d v="2025-02-22T00:00:00"/>
    <x v="2"/>
    <x v="3"/>
    <x v="0"/>
    <x v="0"/>
    <x v="13"/>
    <x v="5"/>
    <x v="7"/>
    <x v="2"/>
  </r>
  <r>
    <s v="TX501282"/>
    <x v="1"/>
    <x v="9"/>
    <n v="81.7"/>
    <x v="856"/>
    <x v="48"/>
    <d v="2025-02-19T00:00:00"/>
    <x v="2"/>
    <x v="0"/>
    <x v="2"/>
    <x v="0"/>
    <x v="21"/>
    <x v="3"/>
    <x v="7"/>
    <x v="2"/>
  </r>
  <r>
    <s v="TX501283"/>
    <x v="6"/>
    <x v="7"/>
    <n v="97.8"/>
    <x v="1070"/>
    <x v="48"/>
    <d v="2025-02-18T00:00:00"/>
    <x v="1"/>
    <x v="1"/>
    <x v="1"/>
    <x v="0"/>
    <x v="21"/>
    <x v="7"/>
    <x v="7"/>
    <x v="1"/>
  </r>
  <r>
    <s v="TX501284"/>
    <x v="6"/>
    <x v="2"/>
    <n v="42.4"/>
    <x v="1071"/>
    <x v="48"/>
    <d v="2025-02-19T00:00:00"/>
    <x v="2"/>
    <x v="0"/>
    <x v="2"/>
    <x v="0"/>
    <x v="54"/>
    <x v="3"/>
    <x v="7"/>
    <x v="2"/>
  </r>
  <r>
    <s v="TX501285"/>
    <x v="2"/>
    <x v="7"/>
    <n v="74.5"/>
    <x v="1072"/>
    <x v="48"/>
    <d v="2025-02-19T00:00:00"/>
    <x v="1"/>
    <x v="2"/>
    <x v="1"/>
    <x v="0"/>
    <x v="1"/>
    <x v="3"/>
    <x v="7"/>
    <x v="1"/>
  </r>
  <r>
    <s v="TX501286"/>
    <x v="17"/>
    <x v="13"/>
    <n v="47.4"/>
    <x v="1073"/>
    <x v="48"/>
    <d v="2025-02-19T00:00:00"/>
    <x v="1"/>
    <x v="1"/>
    <x v="0"/>
    <x v="0"/>
    <x v="1"/>
    <x v="3"/>
    <x v="7"/>
    <x v="1"/>
  </r>
  <r>
    <s v="TX501287"/>
    <x v="14"/>
    <x v="2"/>
    <n v="17.3"/>
    <x v="1074"/>
    <x v="49"/>
    <d v="2025-02-22T00:00:00"/>
    <x v="1"/>
    <x v="2"/>
    <x v="2"/>
    <x v="0"/>
    <x v="1"/>
    <x v="2"/>
    <x v="7"/>
    <x v="1"/>
  </r>
  <r>
    <s v="TX501288"/>
    <x v="12"/>
    <x v="12"/>
    <n v="77.900000000000006"/>
    <x v="1075"/>
    <x v="49"/>
    <d v="2025-02-20T00:00:00"/>
    <x v="1"/>
    <x v="1"/>
    <x v="0"/>
    <x v="0"/>
    <x v="2"/>
    <x v="3"/>
    <x v="7"/>
    <x v="1"/>
  </r>
  <r>
    <s v="TX501289"/>
    <x v="8"/>
    <x v="0"/>
    <n v="29.1"/>
    <x v="1076"/>
    <x v="49"/>
    <d v="2025-02-22T00:00:00"/>
    <x v="1"/>
    <x v="0"/>
    <x v="2"/>
    <x v="0"/>
    <x v="50"/>
    <x v="2"/>
    <x v="7"/>
    <x v="1"/>
  </r>
  <r>
    <s v="TX501290"/>
    <x v="8"/>
    <x v="0"/>
    <n v="49"/>
    <x v="268"/>
    <x v="49"/>
    <d v="2025-02-20T00:00:00"/>
    <x v="1"/>
    <x v="1"/>
    <x v="0"/>
    <x v="0"/>
    <x v="3"/>
    <x v="3"/>
    <x v="7"/>
    <x v="1"/>
  </r>
  <r>
    <s v="TX501291"/>
    <x v="8"/>
    <x v="13"/>
    <n v="21.1"/>
    <x v="1077"/>
    <x v="49"/>
    <d v="2025-02-26T00:00:00"/>
    <x v="1"/>
    <x v="0"/>
    <x v="2"/>
    <x v="0"/>
    <x v="3"/>
    <x v="6"/>
    <x v="7"/>
    <x v="1"/>
  </r>
  <r>
    <s v="TX501292"/>
    <x v="4"/>
    <x v="10"/>
    <n v="36.9"/>
    <x v="1078"/>
    <x v="49"/>
    <d v="2025-02-19T00:00:00"/>
    <x v="2"/>
    <x v="0"/>
    <x v="0"/>
    <x v="0"/>
    <x v="3"/>
    <x v="7"/>
    <x v="7"/>
    <x v="2"/>
  </r>
  <r>
    <s v="TX501293"/>
    <x v="1"/>
    <x v="7"/>
    <n v="92.6"/>
    <x v="1079"/>
    <x v="49"/>
    <d v="2025-02-24T00:00:00"/>
    <x v="1"/>
    <x v="4"/>
    <x v="2"/>
    <x v="0"/>
    <x v="3"/>
    <x v="0"/>
    <x v="7"/>
    <x v="1"/>
  </r>
  <r>
    <s v="TX501294"/>
    <x v="10"/>
    <x v="1"/>
    <n v="38"/>
    <x v="998"/>
    <x v="49"/>
    <d v="2025-02-20T00:00:00"/>
    <x v="1"/>
    <x v="1"/>
    <x v="1"/>
    <x v="0"/>
    <x v="3"/>
    <x v="3"/>
    <x v="7"/>
    <x v="1"/>
  </r>
  <r>
    <s v="TX501295"/>
    <x v="5"/>
    <x v="2"/>
    <n v="54.8"/>
    <x v="1080"/>
    <x v="49"/>
    <d v="2025-02-23T00:00:00"/>
    <x v="0"/>
    <x v="0"/>
    <x v="1"/>
    <x v="0"/>
    <x v="3"/>
    <x v="5"/>
    <x v="7"/>
    <x v="0"/>
  </r>
  <r>
    <s v="TX501296"/>
    <x v="10"/>
    <x v="4"/>
    <n v="56.8"/>
    <x v="1081"/>
    <x v="49"/>
    <d v="2025-02-21T00:00:00"/>
    <x v="1"/>
    <x v="1"/>
    <x v="0"/>
    <x v="0"/>
    <x v="3"/>
    <x v="1"/>
    <x v="7"/>
    <x v="1"/>
  </r>
  <r>
    <s v="TX501297"/>
    <x v="11"/>
    <x v="40"/>
    <n v="47.2"/>
    <x v="1082"/>
    <x v="49"/>
    <d v="2025-02-22T00:00:00"/>
    <x v="2"/>
    <x v="1"/>
    <x v="0"/>
    <x v="0"/>
    <x v="3"/>
    <x v="2"/>
    <x v="7"/>
    <x v="2"/>
  </r>
  <r>
    <s v="TX501298"/>
    <x v="7"/>
    <x v="13"/>
    <n v="45.1"/>
    <x v="1083"/>
    <x v="49"/>
    <d v="2025-02-20T00:00:00"/>
    <x v="2"/>
    <x v="2"/>
    <x v="0"/>
    <x v="0"/>
    <x v="43"/>
    <x v="3"/>
    <x v="7"/>
    <x v="2"/>
  </r>
  <r>
    <s v="TX501299"/>
    <x v="4"/>
    <x v="4"/>
    <n v="25.2"/>
    <x v="982"/>
    <x v="49"/>
    <d v="2025-02-24T00:00:00"/>
    <x v="2"/>
    <x v="2"/>
    <x v="0"/>
    <x v="0"/>
    <x v="16"/>
    <x v="0"/>
    <x v="7"/>
    <x v="2"/>
  </r>
  <r>
    <s v="TX501300"/>
    <x v="8"/>
    <x v="0"/>
    <n v="22"/>
    <x v="1084"/>
    <x v="49"/>
    <d v="2025-02-20T00:00:00"/>
    <x v="2"/>
    <x v="0"/>
    <x v="0"/>
    <x v="0"/>
    <x v="5"/>
    <x v="3"/>
    <x v="7"/>
    <x v="2"/>
  </r>
  <r>
    <s v="TX501301"/>
    <x v="6"/>
    <x v="1"/>
    <n v="42.2"/>
    <x v="533"/>
    <x v="49"/>
    <d v="2025-02-20T00:00:00"/>
    <x v="2"/>
    <x v="1"/>
    <x v="1"/>
    <x v="0"/>
    <x v="23"/>
    <x v="3"/>
    <x v="7"/>
    <x v="2"/>
  </r>
  <r>
    <s v="TX501302"/>
    <x v="13"/>
    <x v="2"/>
    <n v="20.5"/>
    <x v="1085"/>
    <x v="49"/>
    <d v="2025-02-20T00:00:00"/>
    <x v="1"/>
    <x v="0"/>
    <x v="1"/>
    <x v="0"/>
    <x v="6"/>
    <x v="3"/>
    <x v="7"/>
    <x v="1"/>
  </r>
  <r>
    <s v="TX501303"/>
    <x v="2"/>
    <x v="0"/>
    <n v="190.4"/>
    <x v="1086"/>
    <x v="49"/>
    <d v="2025-02-24T00:00:00"/>
    <x v="1"/>
    <x v="1"/>
    <x v="4"/>
    <x v="0"/>
    <x v="6"/>
    <x v="0"/>
    <x v="7"/>
    <x v="1"/>
  </r>
  <r>
    <s v="TX501304"/>
    <x v="2"/>
    <x v="0"/>
    <n v="121.9"/>
    <x v="1087"/>
    <x v="49"/>
    <d v="2025-02-21T00:00:00"/>
    <x v="2"/>
    <x v="1"/>
    <x v="2"/>
    <x v="0"/>
    <x v="6"/>
    <x v="1"/>
    <x v="7"/>
    <x v="2"/>
  </r>
  <r>
    <s v="TX501305"/>
    <x v="2"/>
    <x v="13"/>
    <n v="149.19999999999999"/>
    <x v="1088"/>
    <x v="49"/>
    <d v="2025-02-20T00:00:00"/>
    <x v="2"/>
    <x v="2"/>
    <x v="2"/>
    <x v="0"/>
    <x v="7"/>
    <x v="3"/>
    <x v="7"/>
    <x v="2"/>
  </r>
  <r>
    <s v="TX501306"/>
    <x v="2"/>
    <x v="0"/>
    <n v="54.1"/>
    <x v="1089"/>
    <x v="49"/>
    <d v="2025-02-28T00:00:00"/>
    <x v="2"/>
    <x v="2"/>
    <x v="2"/>
    <x v="0"/>
    <x v="7"/>
    <x v="8"/>
    <x v="7"/>
    <x v="2"/>
  </r>
  <r>
    <s v="TX501307"/>
    <x v="5"/>
    <x v="1"/>
    <n v="27.4"/>
    <x v="1090"/>
    <x v="49"/>
    <d v="2025-02-21T00:00:00"/>
    <x v="1"/>
    <x v="1"/>
    <x v="0"/>
    <x v="0"/>
    <x v="8"/>
    <x v="1"/>
    <x v="7"/>
    <x v="1"/>
  </r>
  <r>
    <s v="TX501308"/>
    <x v="0"/>
    <x v="15"/>
    <n v="30.4"/>
    <x v="1091"/>
    <x v="49"/>
    <d v="2025-02-20T00:00:00"/>
    <x v="2"/>
    <x v="0"/>
    <x v="2"/>
    <x v="0"/>
    <x v="8"/>
    <x v="3"/>
    <x v="7"/>
    <x v="2"/>
  </r>
  <r>
    <s v="TX501309"/>
    <x v="12"/>
    <x v="2"/>
    <n v="46.2"/>
    <x v="209"/>
    <x v="49"/>
    <d v="2025-02-21T00:00:00"/>
    <x v="1"/>
    <x v="2"/>
    <x v="1"/>
    <x v="0"/>
    <x v="17"/>
    <x v="1"/>
    <x v="7"/>
    <x v="1"/>
  </r>
  <r>
    <s v="TX501310"/>
    <x v="7"/>
    <x v="8"/>
    <n v="78.599999999999994"/>
    <x v="1092"/>
    <x v="49"/>
    <d v="2025-02-23T00:00:00"/>
    <x v="1"/>
    <x v="3"/>
    <x v="0"/>
    <x v="0"/>
    <x v="17"/>
    <x v="5"/>
    <x v="7"/>
    <x v="1"/>
  </r>
  <r>
    <s v="TX501311"/>
    <x v="17"/>
    <x v="7"/>
    <n v="25.9"/>
    <x v="155"/>
    <x v="49"/>
    <d v="2025-02-25T00:00:00"/>
    <x v="1"/>
    <x v="4"/>
    <x v="0"/>
    <x v="0"/>
    <x v="9"/>
    <x v="4"/>
    <x v="7"/>
    <x v="1"/>
  </r>
  <r>
    <s v="TX501312"/>
    <x v="6"/>
    <x v="0"/>
    <n v="134.80000000000001"/>
    <x v="1093"/>
    <x v="49"/>
    <d v="2025-02-21T00:00:00"/>
    <x v="1"/>
    <x v="2"/>
    <x v="2"/>
    <x v="0"/>
    <x v="9"/>
    <x v="1"/>
    <x v="7"/>
    <x v="1"/>
  </r>
  <r>
    <s v="TX501313"/>
    <x v="15"/>
    <x v="9"/>
    <n v="43.1"/>
    <x v="1094"/>
    <x v="49"/>
    <d v="2025-02-21T00:00:00"/>
    <x v="2"/>
    <x v="0"/>
    <x v="0"/>
    <x v="0"/>
    <x v="11"/>
    <x v="1"/>
    <x v="7"/>
    <x v="2"/>
  </r>
  <r>
    <s v="TX501314"/>
    <x v="2"/>
    <x v="1"/>
    <n v="215.6"/>
    <x v="348"/>
    <x v="49"/>
    <d v="2025-02-20T00:00:00"/>
    <x v="2"/>
    <x v="2"/>
    <x v="0"/>
    <x v="0"/>
    <x v="18"/>
    <x v="3"/>
    <x v="7"/>
    <x v="2"/>
  </r>
  <r>
    <s v="TX501315"/>
    <x v="6"/>
    <x v="1"/>
    <n v="80.7"/>
    <x v="1095"/>
    <x v="49"/>
    <d v="2025-02-22T00:00:00"/>
    <x v="2"/>
    <x v="3"/>
    <x v="0"/>
    <x v="0"/>
    <x v="18"/>
    <x v="2"/>
    <x v="7"/>
    <x v="2"/>
  </r>
  <r>
    <s v="TX501316"/>
    <x v="10"/>
    <x v="3"/>
    <n v="20.6"/>
    <x v="1096"/>
    <x v="49"/>
    <d v="2025-02-24T00:00:00"/>
    <x v="0"/>
    <x v="2"/>
    <x v="1"/>
    <x v="0"/>
    <x v="19"/>
    <x v="0"/>
    <x v="7"/>
    <x v="0"/>
  </r>
  <r>
    <s v="TX501317"/>
    <x v="12"/>
    <x v="2"/>
    <n v="37.1"/>
    <x v="1097"/>
    <x v="49"/>
    <d v="2025-02-20T00:00:00"/>
    <x v="2"/>
    <x v="0"/>
    <x v="0"/>
    <x v="0"/>
    <x v="52"/>
    <x v="3"/>
    <x v="7"/>
    <x v="2"/>
  </r>
  <r>
    <s v="TX501318"/>
    <x v="12"/>
    <x v="0"/>
    <n v="104.8"/>
    <x v="661"/>
    <x v="50"/>
    <d v="2025-02-22T00:00:00"/>
    <x v="2"/>
    <x v="0"/>
    <x v="0"/>
    <x v="0"/>
    <x v="13"/>
    <x v="1"/>
    <x v="7"/>
    <x v="2"/>
  </r>
  <r>
    <s v="TX501319"/>
    <x v="8"/>
    <x v="1"/>
    <n v="59"/>
    <x v="1098"/>
    <x v="50"/>
    <d v="2025-02-21T00:00:00"/>
    <x v="1"/>
    <x v="1"/>
    <x v="0"/>
    <x v="0"/>
    <x v="21"/>
    <x v="3"/>
    <x v="7"/>
    <x v="1"/>
  </r>
  <r>
    <s v="TX501320"/>
    <x v="8"/>
    <x v="1"/>
    <n v="32.299999999999997"/>
    <x v="1099"/>
    <x v="50"/>
    <d v="2025-02-21T00:00:00"/>
    <x v="1"/>
    <x v="0"/>
    <x v="2"/>
    <x v="0"/>
    <x v="21"/>
    <x v="3"/>
    <x v="7"/>
    <x v="1"/>
  </r>
  <r>
    <s v="TX501321"/>
    <x v="8"/>
    <x v="12"/>
    <n v="28.9"/>
    <x v="446"/>
    <x v="50"/>
    <d v="2025-02-27T00:00:00"/>
    <x v="1"/>
    <x v="0"/>
    <x v="0"/>
    <x v="0"/>
    <x v="1"/>
    <x v="6"/>
    <x v="7"/>
    <x v="1"/>
  </r>
  <r>
    <s v="TX501322"/>
    <x v="0"/>
    <x v="1"/>
    <n v="29.6"/>
    <x v="1100"/>
    <x v="50"/>
    <d v="2025-02-22T00:00:00"/>
    <x v="1"/>
    <x v="0"/>
    <x v="0"/>
    <x v="0"/>
    <x v="1"/>
    <x v="1"/>
    <x v="7"/>
    <x v="1"/>
  </r>
  <r>
    <s v="TX501323"/>
    <x v="0"/>
    <x v="9"/>
    <n v="29.4"/>
    <x v="926"/>
    <x v="50"/>
    <d v="2025-02-23T00:00:00"/>
    <x v="2"/>
    <x v="0"/>
    <x v="0"/>
    <x v="0"/>
    <x v="1"/>
    <x v="2"/>
    <x v="7"/>
    <x v="2"/>
  </r>
  <r>
    <s v="TX501324"/>
    <x v="1"/>
    <x v="1"/>
    <n v="40.6"/>
    <x v="1101"/>
    <x v="50"/>
    <d v="2025-02-21T00:00:00"/>
    <x v="1"/>
    <x v="0"/>
    <x v="4"/>
    <x v="0"/>
    <x v="2"/>
    <x v="3"/>
    <x v="7"/>
    <x v="1"/>
  </r>
  <r>
    <s v="TX501325"/>
    <x v="0"/>
    <x v="2"/>
    <n v="32.5"/>
    <x v="647"/>
    <x v="50"/>
    <d v="2025-02-21T00:00:00"/>
    <x v="1"/>
    <x v="3"/>
    <x v="2"/>
    <x v="0"/>
    <x v="22"/>
    <x v="3"/>
    <x v="7"/>
    <x v="1"/>
  </r>
  <r>
    <s v="TX501326"/>
    <x v="15"/>
    <x v="0"/>
    <n v="26.2"/>
    <x v="1102"/>
    <x v="50"/>
    <d v="2025-02-22T00:00:00"/>
    <x v="1"/>
    <x v="2"/>
    <x v="0"/>
    <x v="0"/>
    <x v="55"/>
    <x v="1"/>
    <x v="7"/>
    <x v="1"/>
  </r>
  <r>
    <s v="TX501327"/>
    <x v="10"/>
    <x v="17"/>
    <n v="44"/>
    <x v="1103"/>
    <x v="50"/>
    <d v="2025-02-26T00:00:00"/>
    <x v="1"/>
    <x v="4"/>
    <x v="0"/>
    <x v="0"/>
    <x v="3"/>
    <x v="4"/>
    <x v="7"/>
    <x v="1"/>
  </r>
  <r>
    <s v="TX501328"/>
    <x v="7"/>
    <x v="12"/>
    <n v="65.599999999999994"/>
    <x v="1104"/>
    <x v="50"/>
    <d v="2025-02-21T00:00:00"/>
    <x v="2"/>
    <x v="1"/>
    <x v="1"/>
    <x v="0"/>
    <x v="3"/>
    <x v="3"/>
    <x v="7"/>
    <x v="2"/>
  </r>
  <r>
    <s v="TX501329"/>
    <x v="5"/>
    <x v="4"/>
    <n v="32.6"/>
    <x v="1105"/>
    <x v="50"/>
    <d v="2025-02-21T00:00:00"/>
    <x v="1"/>
    <x v="4"/>
    <x v="0"/>
    <x v="0"/>
    <x v="3"/>
    <x v="3"/>
    <x v="7"/>
    <x v="1"/>
  </r>
  <r>
    <s v="TX501330"/>
    <x v="16"/>
    <x v="1"/>
    <n v="88.7"/>
    <x v="633"/>
    <x v="50"/>
    <d v="2025-02-21T00:00:00"/>
    <x v="0"/>
    <x v="3"/>
    <x v="2"/>
    <x v="0"/>
    <x v="3"/>
    <x v="3"/>
    <x v="7"/>
    <x v="0"/>
  </r>
  <r>
    <s v="TX501331"/>
    <x v="4"/>
    <x v="1"/>
    <n v="21.3"/>
    <x v="440"/>
    <x v="50"/>
    <d v="2025-02-21T00:00:00"/>
    <x v="1"/>
    <x v="0"/>
    <x v="0"/>
    <x v="0"/>
    <x v="3"/>
    <x v="3"/>
    <x v="7"/>
    <x v="1"/>
  </r>
  <r>
    <s v="TX501332"/>
    <x v="4"/>
    <x v="13"/>
    <n v="50.6"/>
    <x v="80"/>
    <x v="50"/>
    <d v="2025-02-24T00:00:00"/>
    <x v="2"/>
    <x v="2"/>
    <x v="0"/>
    <x v="0"/>
    <x v="3"/>
    <x v="5"/>
    <x v="7"/>
    <x v="2"/>
  </r>
  <r>
    <s v="TX501333"/>
    <x v="9"/>
    <x v="38"/>
    <n v="86.9"/>
    <x v="1106"/>
    <x v="50"/>
    <d v="2025-02-23T00:00:00"/>
    <x v="2"/>
    <x v="0"/>
    <x v="1"/>
    <x v="0"/>
    <x v="3"/>
    <x v="2"/>
    <x v="7"/>
    <x v="2"/>
  </r>
  <r>
    <s v="TX501334"/>
    <x v="11"/>
    <x v="2"/>
    <n v="31.8"/>
    <x v="233"/>
    <x v="50"/>
    <d v="2025-02-22T00:00:00"/>
    <x v="1"/>
    <x v="0"/>
    <x v="2"/>
    <x v="0"/>
    <x v="3"/>
    <x v="1"/>
    <x v="7"/>
    <x v="1"/>
  </r>
  <r>
    <s v="TX501335"/>
    <x v="8"/>
    <x v="0"/>
    <n v="19"/>
    <x v="134"/>
    <x v="50"/>
    <d v="2025-02-21T00:00:00"/>
    <x v="2"/>
    <x v="0"/>
    <x v="2"/>
    <x v="0"/>
    <x v="3"/>
    <x v="3"/>
    <x v="7"/>
    <x v="2"/>
  </r>
  <r>
    <s v="TX501336"/>
    <x v="5"/>
    <x v="0"/>
    <n v="54.5"/>
    <x v="1107"/>
    <x v="50"/>
    <d v="2025-02-22T00:00:00"/>
    <x v="1"/>
    <x v="0"/>
    <x v="0"/>
    <x v="0"/>
    <x v="3"/>
    <x v="1"/>
    <x v="7"/>
    <x v="1"/>
  </r>
  <r>
    <s v="TX501337"/>
    <x v="9"/>
    <x v="9"/>
    <n v="68.900000000000006"/>
    <x v="1108"/>
    <x v="50"/>
    <d v="2025-02-22T00:00:00"/>
    <x v="1"/>
    <x v="4"/>
    <x v="1"/>
    <x v="0"/>
    <x v="3"/>
    <x v="1"/>
    <x v="7"/>
    <x v="1"/>
  </r>
  <r>
    <s v="TX501338"/>
    <x v="6"/>
    <x v="2"/>
    <n v="84"/>
    <x v="816"/>
    <x v="50"/>
    <d v="2025-02-21T00:00:00"/>
    <x v="1"/>
    <x v="1"/>
    <x v="4"/>
    <x v="0"/>
    <x v="16"/>
    <x v="3"/>
    <x v="7"/>
    <x v="1"/>
  </r>
  <r>
    <s v="TX501339"/>
    <x v="15"/>
    <x v="8"/>
    <n v="23.1"/>
    <x v="827"/>
    <x v="50"/>
    <d v="2025-02-25T00:00:00"/>
    <x v="1"/>
    <x v="0"/>
    <x v="2"/>
    <x v="0"/>
    <x v="23"/>
    <x v="0"/>
    <x v="7"/>
    <x v="1"/>
  </r>
  <r>
    <s v="TX501340"/>
    <x v="7"/>
    <x v="1"/>
    <n v="62.4"/>
    <x v="1109"/>
    <x v="50"/>
    <d v="2025-02-21T00:00:00"/>
    <x v="2"/>
    <x v="0"/>
    <x v="1"/>
    <x v="0"/>
    <x v="6"/>
    <x v="3"/>
    <x v="7"/>
    <x v="2"/>
  </r>
  <r>
    <s v="TX501341"/>
    <x v="6"/>
    <x v="4"/>
    <n v="40.700000000000003"/>
    <x v="1110"/>
    <x v="50"/>
    <d v="2025-02-22T00:00:00"/>
    <x v="1"/>
    <x v="1"/>
    <x v="2"/>
    <x v="0"/>
    <x v="6"/>
    <x v="1"/>
    <x v="7"/>
    <x v="1"/>
  </r>
  <r>
    <s v="TX501342"/>
    <x v="6"/>
    <x v="0"/>
    <n v="49.6"/>
    <x v="1111"/>
    <x v="50"/>
    <d v="2025-02-23T00:00:00"/>
    <x v="1"/>
    <x v="2"/>
    <x v="0"/>
    <x v="0"/>
    <x v="7"/>
    <x v="2"/>
    <x v="7"/>
    <x v="1"/>
  </r>
  <r>
    <s v="TX501343"/>
    <x v="7"/>
    <x v="41"/>
    <n v="66.599999999999994"/>
    <x v="1112"/>
    <x v="50"/>
    <d v="2025-02-23T00:00:00"/>
    <x v="1"/>
    <x v="2"/>
    <x v="0"/>
    <x v="0"/>
    <x v="8"/>
    <x v="2"/>
    <x v="7"/>
    <x v="1"/>
  </r>
  <r>
    <s v="TX501344"/>
    <x v="8"/>
    <x v="2"/>
    <n v="26.4"/>
    <x v="1113"/>
    <x v="50"/>
    <d v="2025-02-21T00:00:00"/>
    <x v="2"/>
    <x v="1"/>
    <x v="1"/>
    <x v="0"/>
    <x v="8"/>
    <x v="3"/>
    <x v="7"/>
    <x v="2"/>
  </r>
  <r>
    <s v="TX501345"/>
    <x v="0"/>
    <x v="1"/>
    <n v="17.2"/>
    <x v="1114"/>
    <x v="50"/>
    <d v="2025-02-23T00:00:00"/>
    <x v="1"/>
    <x v="2"/>
    <x v="1"/>
    <x v="0"/>
    <x v="8"/>
    <x v="2"/>
    <x v="7"/>
    <x v="1"/>
  </r>
  <r>
    <s v="TX501346"/>
    <x v="5"/>
    <x v="8"/>
    <n v="58.1"/>
    <x v="1115"/>
    <x v="50"/>
    <d v="2025-02-23T00:00:00"/>
    <x v="2"/>
    <x v="4"/>
    <x v="0"/>
    <x v="0"/>
    <x v="8"/>
    <x v="2"/>
    <x v="7"/>
    <x v="2"/>
  </r>
  <r>
    <s v="TX501347"/>
    <x v="15"/>
    <x v="12"/>
    <n v="31.5"/>
    <x v="624"/>
    <x v="50"/>
    <d v="2025-02-23T00:00:00"/>
    <x v="2"/>
    <x v="4"/>
    <x v="4"/>
    <x v="0"/>
    <x v="8"/>
    <x v="2"/>
    <x v="7"/>
    <x v="2"/>
  </r>
  <r>
    <s v="TX501348"/>
    <x v="0"/>
    <x v="0"/>
    <n v="27.1"/>
    <x v="1116"/>
    <x v="50"/>
    <d v="2025-02-22T00:00:00"/>
    <x v="2"/>
    <x v="0"/>
    <x v="1"/>
    <x v="0"/>
    <x v="17"/>
    <x v="1"/>
    <x v="7"/>
    <x v="2"/>
  </r>
  <r>
    <s v="TX501349"/>
    <x v="18"/>
    <x v="12"/>
    <n v="28.5"/>
    <x v="717"/>
    <x v="50"/>
    <d v="2025-02-22T00:00:00"/>
    <x v="1"/>
    <x v="1"/>
    <x v="2"/>
    <x v="0"/>
    <x v="9"/>
    <x v="1"/>
    <x v="7"/>
    <x v="1"/>
  </r>
  <r>
    <s v="TX501350"/>
    <x v="10"/>
    <x v="0"/>
    <n v="40.5"/>
    <x v="1117"/>
    <x v="51"/>
    <d v="2025-02-23T00:00:00"/>
    <x v="3"/>
    <x v="2"/>
    <x v="0"/>
    <x v="0"/>
    <x v="9"/>
    <x v="1"/>
    <x v="7"/>
    <x v="3"/>
  </r>
  <r>
    <s v="TX501351"/>
    <x v="2"/>
    <x v="2"/>
    <n v="77.900000000000006"/>
    <x v="1118"/>
    <x v="51"/>
    <d v="2025-02-25T00:00:00"/>
    <x v="2"/>
    <x v="1"/>
    <x v="2"/>
    <x v="0"/>
    <x v="19"/>
    <x v="5"/>
    <x v="7"/>
    <x v="2"/>
  </r>
  <r>
    <s v="TX501352"/>
    <x v="18"/>
    <x v="12"/>
    <n v="37.1"/>
    <x v="1119"/>
    <x v="51"/>
    <d v="2025-02-23T00:00:00"/>
    <x v="1"/>
    <x v="4"/>
    <x v="2"/>
    <x v="0"/>
    <x v="19"/>
    <x v="1"/>
    <x v="7"/>
    <x v="1"/>
  </r>
  <r>
    <s v="TX501353"/>
    <x v="16"/>
    <x v="2"/>
    <n v="51.6"/>
    <x v="1120"/>
    <x v="51"/>
    <d v="2025-03-01T00:00:00"/>
    <x v="2"/>
    <x v="0"/>
    <x v="4"/>
    <x v="0"/>
    <x v="19"/>
    <x v="9"/>
    <x v="7"/>
    <x v="2"/>
  </r>
  <r>
    <s v="TX501354"/>
    <x v="7"/>
    <x v="2"/>
    <n v="98"/>
    <x v="1121"/>
    <x v="51"/>
    <d v="2025-02-22T00:00:00"/>
    <x v="1"/>
    <x v="1"/>
    <x v="1"/>
    <x v="0"/>
    <x v="19"/>
    <x v="3"/>
    <x v="7"/>
    <x v="1"/>
  </r>
  <r>
    <s v="TX501355"/>
    <x v="6"/>
    <x v="3"/>
    <n v="41.4"/>
    <x v="1122"/>
    <x v="51"/>
    <d v="2025-02-22T00:00:00"/>
    <x v="1"/>
    <x v="1"/>
    <x v="0"/>
    <x v="0"/>
    <x v="20"/>
    <x v="3"/>
    <x v="7"/>
    <x v="1"/>
  </r>
  <r>
    <s v="TX501356"/>
    <x v="11"/>
    <x v="8"/>
    <n v="34"/>
    <x v="1123"/>
    <x v="51"/>
    <d v="2025-02-26T00:00:00"/>
    <x v="2"/>
    <x v="0"/>
    <x v="2"/>
    <x v="0"/>
    <x v="52"/>
    <x v="0"/>
    <x v="7"/>
    <x v="2"/>
  </r>
  <r>
    <s v="TX501357"/>
    <x v="6"/>
    <x v="0"/>
    <n v="66.3"/>
    <x v="1124"/>
    <x v="51"/>
    <d v="2025-02-22T00:00:00"/>
    <x v="2"/>
    <x v="1"/>
    <x v="0"/>
    <x v="0"/>
    <x v="13"/>
    <x v="3"/>
    <x v="7"/>
    <x v="2"/>
  </r>
  <r>
    <s v="TX501358"/>
    <x v="7"/>
    <x v="0"/>
    <n v="33.5"/>
    <x v="253"/>
    <x v="51"/>
    <d v="2025-02-25T00:00:00"/>
    <x v="1"/>
    <x v="2"/>
    <x v="0"/>
    <x v="0"/>
    <x v="13"/>
    <x v="5"/>
    <x v="7"/>
    <x v="1"/>
  </r>
  <r>
    <s v="TX501359"/>
    <x v="12"/>
    <x v="1"/>
    <n v="70.8"/>
    <x v="932"/>
    <x v="51"/>
    <d v="2025-02-22T00:00:00"/>
    <x v="0"/>
    <x v="0"/>
    <x v="0"/>
    <x v="0"/>
    <x v="28"/>
    <x v="3"/>
    <x v="7"/>
    <x v="0"/>
  </r>
  <r>
    <s v="TX501360"/>
    <x v="6"/>
    <x v="1"/>
    <n v="127.6"/>
    <x v="281"/>
    <x v="51"/>
    <d v="2025-02-22T00:00:00"/>
    <x v="1"/>
    <x v="0"/>
    <x v="0"/>
    <x v="0"/>
    <x v="21"/>
    <x v="3"/>
    <x v="7"/>
    <x v="1"/>
  </r>
  <r>
    <s v="TX501361"/>
    <x v="6"/>
    <x v="2"/>
    <n v="95.9"/>
    <x v="1125"/>
    <x v="51"/>
    <d v="2025-02-22T00:00:00"/>
    <x v="2"/>
    <x v="1"/>
    <x v="1"/>
    <x v="0"/>
    <x v="21"/>
    <x v="3"/>
    <x v="7"/>
    <x v="2"/>
  </r>
  <r>
    <s v="TX501362"/>
    <x v="2"/>
    <x v="1"/>
    <n v="78.099999999999994"/>
    <x v="1126"/>
    <x v="51"/>
    <d v="2025-02-22T00:00:00"/>
    <x v="1"/>
    <x v="0"/>
    <x v="0"/>
    <x v="0"/>
    <x v="1"/>
    <x v="3"/>
    <x v="7"/>
    <x v="1"/>
  </r>
  <r>
    <s v="TX501363"/>
    <x v="13"/>
    <x v="1"/>
    <n v="43.2"/>
    <x v="781"/>
    <x v="51"/>
    <d v="2025-02-22T00:00:00"/>
    <x v="0"/>
    <x v="1"/>
    <x v="1"/>
    <x v="0"/>
    <x v="1"/>
    <x v="3"/>
    <x v="7"/>
    <x v="0"/>
  </r>
  <r>
    <s v="TX501364"/>
    <x v="8"/>
    <x v="12"/>
    <n v="28.4"/>
    <x v="1127"/>
    <x v="51"/>
    <d v="2025-02-27T00:00:00"/>
    <x v="1"/>
    <x v="2"/>
    <x v="0"/>
    <x v="0"/>
    <x v="3"/>
    <x v="4"/>
    <x v="7"/>
    <x v="1"/>
  </r>
  <r>
    <s v="TX501365"/>
    <x v="2"/>
    <x v="1"/>
    <n v="81.7"/>
    <x v="1128"/>
    <x v="51"/>
    <d v="2025-02-21T00:00:00"/>
    <x v="1"/>
    <x v="0"/>
    <x v="0"/>
    <x v="0"/>
    <x v="3"/>
    <x v="7"/>
    <x v="7"/>
    <x v="1"/>
  </r>
  <r>
    <s v="TX501366"/>
    <x v="18"/>
    <x v="1"/>
    <n v="56.7"/>
    <x v="1129"/>
    <x v="51"/>
    <d v="2025-02-23T00:00:00"/>
    <x v="0"/>
    <x v="0"/>
    <x v="2"/>
    <x v="0"/>
    <x v="3"/>
    <x v="1"/>
    <x v="7"/>
    <x v="0"/>
  </r>
  <r>
    <s v="TX501367"/>
    <x v="3"/>
    <x v="12"/>
    <n v="66.5"/>
    <x v="751"/>
    <x v="51"/>
    <d v="2025-02-21T00:00:00"/>
    <x v="2"/>
    <x v="0"/>
    <x v="2"/>
    <x v="0"/>
    <x v="3"/>
    <x v="7"/>
    <x v="7"/>
    <x v="2"/>
  </r>
  <r>
    <s v="TX501368"/>
    <x v="1"/>
    <x v="1"/>
    <n v="105.3"/>
    <x v="1130"/>
    <x v="51"/>
    <d v="2025-02-25T00:00:00"/>
    <x v="1"/>
    <x v="0"/>
    <x v="1"/>
    <x v="0"/>
    <x v="3"/>
    <x v="5"/>
    <x v="7"/>
    <x v="1"/>
  </r>
  <r>
    <s v="TX501369"/>
    <x v="10"/>
    <x v="9"/>
    <n v="33.799999999999997"/>
    <x v="900"/>
    <x v="51"/>
    <d v="2025-02-26T00:00:00"/>
    <x v="1"/>
    <x v="0"/>
    <x v="0"/>
    <x v="0"/>
    <x v="3"/>
    <x v="0"/>
    <x v="7"/>
    <x v="1"/>
  </r>
  <r>
    <s v="TX501370"/>
    <x v="6"/>
    <x v="2"/>
    <n v="63.4"/>
    <x v="1131"/>
    <x v="51"/>
    <d v="2025-02-26T00:00:00"/>
    <x v="1"/>
    <x v="3"/>
    <x v="1"/>
    <x v="0"/>
    <x v="24"/>
    <x v="0"/>
    <x v="7"/>
    <x v="1"/>
  </r>
  <r>
    <s v="TX501371"/>
    <x v="6"/>
    <x v="2"/>
    <n v="49"/>
    <x v="926"/>
    <x v="51"/>
    <d v="2025-02-25T00:00:00"/>
    <x v="1"/>
    <x v="3"/>
    <x v="0"/>
    <x v="0"/>
    <x v="49"/>
    <x v="5"/>
    <x v="7"/>
    <x v="1"/>
  </r>
  <r>
    <s v="TX501372"/>
    <x v="1"/>
    <x v="1"/>
    <n v="40"/>
    <x v="479"/>
    <x v="51"/>
    <d v="2025-02-22T00:00:00"/>
    <x v="2"/>
    <x v="4"/>
    <x v="1"/>
    <x v="0"/>
    <x v="23"/>
    <x v="3"/>
    <x v="7"/>
    <x v="2"/>
  </r>
  <r>
    <s v="TX501373"/>
    <x v="6"/>
    <x v="12"/>
    <n v="86.3"/>
    <x v="1132"/>
    <x v="51"/>
    <d v="2025-02-22T00:00:00"/>
    <x v="3"/>
    <x v="0"/>
    <x v="0"/>
    <x v="0"/>
    <x v="6"/>
    <x v="3"/>
    <x v="7"/>
    <x v="3"/>
  </r>
  <r>
    <s v="TX501374"/>
    <x v="6"/>
    <x v="0"/>
    <n v="51.6"/>
    <x v="937"/>
    <x v="51"/>
    <d v="2025-02-23T00:00:00"/>
    <x v="2"/>
    <x v="2"/>
    <x v="2"/>
    <x v="0"/>
    <x v="6"/>
    <x v="1"/>
    <x v="7"/>
    <x v="2"/>
  </r>
  <r>
    <s v="TX501375"/>
    <x v="10"/>
    <x v="2"/>
    <n v="26.7"/>
    <x v="1133"/>
    <x v="51"/>
    <d v="2025-02-26T00:00:00"/>
    <x v="2"/>
    <x v="2"/>
    <x v="1"/>
    <x v="0"/>
    <x v="6"/>
    <x v="0"/>
    <x v="7"/>
    <x v="2"/>
  </r>
  <r>
    <s v="TX501376"/>
    <x v="18"/>
    <x v="1"/>
    <n v="68.099999999999994"/>
    <x v="1134"/>
    <x v="51"/>
    <d v="2025-02-22T00:00:00"/>
    <x v="1"/>
    <x v="0"/>
    <x v="1"/>
    <x v="0"/>
    <x v="6"/>
    <x v="3"/>
    <x v="7"/>
    <x v="1"/>
  </r>
  <r>
    <s v="TX501377"/>
    <x v="1"/>
    <x v="0"/>
    <n v="81.7"/>
    <x v="1135"/>
    <x v="51"/>
    <d v="2025-02-22T00:00:00"/>
    <x v="1"/>
    <x v="0"/>
    <x v="0"/>
    <x v="0"/>
    <x v="7"/>
    <x v="3"/>
    <x v="7"/>
    <x v="1"/>
  </r>
  <r>
    <s v="TX501378"/>
    <x v="18"/>
    <x v="7"/>
    <n v="25.1"/>
    <x v="1136"/>
    <x v="51"/>
    <d v="2025-02-24T00:00:00"/>
    <x v="1"/>
    <x v="3"/>
    <x v="1"/>
    <x v="0"/>
    <x v="8"/>
    <x v="2"/>
    <x v="7"/>
    <x v="1"/>
  </r>
  <r>
    <s v="TX501379"/>
    <x v="8"/>
    <x v="0"/>
    <n v="20.2"/>
    <x v="1137"/>
    <x v="51"/>
    <d v="2025-02-25T00:00:00"/>
    <x v="2"/>
    <x v="0"/>
    <x v="0"/>
    <x v="0"/>
    <x v="8"/>
    <x v="5"/>
    <x v="7"/>
    <x v="2"/>
  </r>
  <r>
    <s v="TX501380"/>
    <x v="8"/>
    <x v="2"/>
    <n v="15.4"/>
    <x v="1063"/>
    <x v="51"/>
    <d v="2025-02-22T00:00:00"/>
    <x v="1"/>
    <x v="1"/>
    <x v="2"/>
    <x v="0"/>
    <x v="8"/>
    <x v="3"/>
    <x v="7"/>
    <x v="1"/>
  </r>
  <r>
    <s v="TX501381"/>
    <x v="10"/>
    <x v="0"/>
    <n v="59.2"/>
    <x v="1100"/>
    <x v="51"/>
    <d v="2025-02-22T00:00:00"/>
    <x v="1"/>
    <x v="2"/>
    <x v="2"/>
    <x v="0"/>
    <x v="17"/>
    <x v="3"/>
    <x v="7"/>
    <x v="1"/>
  </r>
  <r>
    <s v="TX501382"/>
    <x v="0"/>
    <x v="0"/>
    <n v="46.7"/>
    <x v="594"/>
    <x v="51"/>
    <d v="2025-02-26T00:00:00"/>
    <x v="1"/>
    <x v="0"/>
    <x v="0"/>
    <x v="0"/>
    <x v="17"/>
    <x v="0"/>
    <x v="7"/>
    <x v="1"/>
  </r>
  <r>
    <s v="TX501383"/>
    <x v="6"/>
    <x v="20"/>
    <n v="41.6"/>
    <x v="1138"/>
    <x v="51"/>
    <d v="2025-02-23T00:00:00"/>
    <x v="1"/>
    <x v="1"/>
    <x v="0"/>
    <x v="0"/>
    <x v="26"/>
    <x v="1"/>
    <x v="7"/>
    <x v="1"/>
  </r>
  <r>
    <s v="TX501384"/>
    <x v="8"/>
    <x v="1"/>
    <n v="19.2"/>
    <x v="1139"/>
    <x v="51"/>
    <d v="2025-02-24T00:00:00"/>
    <x v="1"/>
    <x v="4"/>
    <x v="2"/>
    <x v="0"/>
    <x v="9"/>
    <x v="2"/>
    <x v="7"/>
    <x v="1"/>
  </r>
  <r>
    <s v="TX501385"/>
    <x v="17"/>
    <x v="3"/>
    <n v="41.8"/>
    <x v="1140"/>
    <x v="51"/>
    <d v="2025-02-23T00:00:00"/>
    <x v="2"/>
    <x v="2"/>
    <x v="0"/>
    <x v="0"/>
    <x v="11"/>
    <x v="1"/>
    <x v="7"/>
    <x v="2"/>
  </r>
  <r>
    <s v="TX501386"/>
    <x v="8"/>
    <x v="13"/>
    <n v="37.4"/>
    <x v="1141"/>
    <x v="51"/>
    <d v="2025-02-23T00:00:00"/>
    <x v="1"/>
    <x v="0"/>
    <x v="2"/>
    <x v="0"/>
    <x v="11"/>
    <x v="1"/>
    <x v="7"/>
    <x v="1"/>
  </r>
  <r>
    <s v="TX501387"/>
    <x v="10"/>
    <x v="2"/>
    <n v="60.2"/>
    <x v="1142"/>
    <x v="51"/>
    <d v="2025-02-24T00:00:00"/>
    <x v="1"/>
    <x v="4"/>
    <x v="1"/>
    <x v="0"/>
    <x v="38"/>
    <x v="2"/>
    <x v="7"/>
    <x v="1"/>
  </r>
  <r>
    <s v="TX501388"/>
    <x v="9"/>
    <x v="1"/>
    <n v="91.5"/>
    <x v="1143"/>
    <x v="52"/>
    <d v="2025-02-23T00:00:00"/>
    <x v="1"/>
    <x v="0"/>
    <x v="0"/>
    <x v="0"/>
    <x v="13"/>
    <x v="3"/>
    <x v="7"/>
    <x v="1"/>
  </r>
  <r>
    <s v="TX501389"/>
    <x v="3"/>
    <x v="9"/>
    <n v="55.7"/>
    <x v="1144"/>
    <x v="52"/>
    <d v="2025-02-24T00:00:00"/>
    <x v="0"/>
    <x v="1"/>
    <x v="2"/>
    <x v="0"/>
    <x v="21"/>
    <x v="1"/>
    <x v="7"/>
    <x v="0"/>
  </r>
  <r>
    <s v="TX501390"/>
    <x v="7"/>
    <x v="1"/>
    <n v="76.7"/>
    <x v="1145"/>
    <x v="52"/>
    <d v="2025-02-24T00:00:00"/>
    <x v="1"/>
    <x v="0"/>
    <x v="1"/>
    <x v="0"/>
    <x v="21"/>
    <x v="1"/>
    <x v="7"/>
    <x v="1"/>
  </r>
  <r>
    <s v="TX501391"/>
    <x v="8"/>
    <x v="38"/>
    <n v="28.2"/>
    <x v="1146"/>
    <x v="52"/>
    <d v="2025-02-27T00:00:00"/>
    <x v="1"/>
    <x v="2"/>
    <x v="0"/>
    <x v="0"/>
    <x v="1"/>
    <x v="0"/>
    <x v="7"/>
    <x v="1"/>
  </r>
  <r>
    <s v="TX501392"/>
    <x v="7"/>
    <x v="9"/>
    <n v="93.2"/>
    <x v="1147"/>
    <x v="52"/>
    <d v="2025-02-24T00:00:00"/>
    <x v="2"/>
    <x v="4"/>
    <x v="2"/>
    <x v="0"/>
    <x v="1"/>
    <x v="1"/>
    <x v="7"/>
    <x v="2"/>
  </r>
  <r>
    <s v="TX501393"/>
    <x v="17"/>
    <x v="0"/>
    <n v="33.299999999999997"/>
    <x v="698"/>
    <x v="52"/>
    <d v="2025-02-23T00:00:00"/>
    <x v="1"/>
    <x v="4"/>
    <x v="0"/>
    <x v="0"/>
    <x v="2"/>
    <x v="3"/>
    <x v="7"/>
    <x v="1"/>
  </r>
  <r>
    <s v="TX501394"/>
    <x v="10"/>
    <x v="1"/>
    <n v="39.1"/>
    <x v="1148"/>
    <x v="52"/>
    <d v="2025-02-25T00:00:00"/>
    <x v="1"/>
    <x v="0"/>
    <x v="0"/>
    <x v="0"/>
    <x v="44"/>
    <x v="2"/>
    <x v="7"/>
    <x v="1"/>
  </r>
  <r>
    <s v="TX501395"/>
    <x v="7"/>
    <x v="4"/>
    <n v="45.3"/>
    <x v="1149"/>
    <x v="52"/>
    <d v="2025-02-23T00:00:00"/>
    <x v="1"/>
    <x v="2"/>
    <x v="0"/>
    <x v="0"/>
    <x v="33"/>
    <x v="3"/>
    <x v="7"/>
    <x v="1"/>
  </r>
  <r>
    <s v="TX501396"/>
    <x v="9"/>
    <x v="3"/>
    <n v="33.9"/>
    <x v="1150"/>
    <x v="52"/>
    <d v="2025-02-23T00:00:00"/>
    <x v="1"/>
    <x v="4"/>
    <x v="0"/>
    <x v="0"/>
    <x v="33"/>
    <x v="3"/>
    <x v="7"/>
    <x v="1"/>
  </r>
  <r>
    <s v="TX501397"/>
    <x v="8"/>
    <x v="2"/>
    <n v="19"/>
    <x v="933"/>
    <x v="52"/>
    <d v="2025-02-23T00:00:00"/>
    <x v="1"/>
    <x v="0"/>
    <x v="2"/>
    <x v="0"/>
    <x v="15"/>
    <x v="3"/>
    <x v="7"/>
    <x v="1"/>
  </r>
  <r>
    <s v="TX501398"/>
    <x v="4"/>
    <x v="0"/>
    <n v="41.9"/>
    <x v="1151"/>
    <x v="52"/>
    <d v="2025-02-25T00:00:00"/>
    <x v="2"/>
    <x v="2"/>
    <x v="0"/>
    <x v="0"/>
    <x v="22"/>
    <x v="2"/>
    <x v="7"/>
    <x v="2"/>
  </r>
  <r>
    <s v="TX501399"/>
    <x v="1"/>
    <x v="12"/>
    <n v="37.5"/>
    <x v="638"/>
    <x v="52"/>
    <d v="2025-02-22T00:00:00"/>
    <x v="2"/>
    <x v="0"/>
    <x v="0"/>
    <x v="0"/>
    <x v="3"/>
    <x v="7"/>
    <x v="7"/>
    <x v="2"/>
  </r>
  <r>
    <s v="TX501400"/>
    <x v="0"/>
    <x v="1"/>
    <n v="40.799999999999997"/>
    <x v="330"/>
    <x v="52"/>
    <d v="2025-02-25T00:00:00"/>
    <x v="1"/>
    <x v="0"/>
    <x v="0"/>
    <x v="0"/>
    <x v="3"/>
    <x v="2"/>
    <x v="7"/>
    <x v="1"/>
  </r>
  <r>
    <s v="TX501401"/>
    <x v="0"/>
    <x v="12"/>
    <n v="23.1"/>
    <x v="1152"/>
    <x v="52"/>
    <d v="2025-02-23T00:00:00"/>
    <x v="2"/>
    <x v="4"/>
    <x v="0"/>
    <x v="0"/>
    <x v="3"/>
    <x v="3"/>
    <x v="7"/>
    <x v="2"/>
  </r>
  <r>
    <s v="TX501402"/>
    <x v="8"/>
    <x v="9"/>
    <n v="39.299999999999997"/>
    <x v="756"/>
    <x v="52"/>
    <d v="2025-02-23T00:00:00"/>
    <x v="2"/>
    <x v="0"/>
    <x v="0"/>
    <x v="0"/>
    <x v="3"/>
    <x v="3"/>
    <x v="7"/>
    <x v="2"/>
  </r>
  <r>
    <s v="TX501403"/>
    <x v="2"/>
    <x v="12"/>
    <n v="85.2"/>
    <x v="1153"/>
    <x v="52"/>
    <d v="2025-02-27T00:00:00"/>
    <x v="1"/>
    <x v="2"/>
    <x v="0"/>
    <x v="0"/>
    <x v="3"/>
    <x v="0"/>
    <x v="7"/>
    <x v="1"/>
  </r>
  <r>
    <s v="TX501404"/>
    <x v="8"/>
    <x v="13"/>
    <n v="16"/>
    <x v="854"/>
    <x v="52"/>
    <d v="2025-02-25T00:00:00"/>
    <x v="1"/>
    <x v="1"/>
    <x v="0"/>
    <x v="0"/>
    <x v="3"/>
    <x v="2"/>
    <x v="7"/>
    <x v="1"/>
  </r>
  <r>
    <s v="TX501405"/>
    <x v="1"/>
    <x v="1"/>
    <n v="33.799999999999997"/>
    <x v="821"/>
    <x v="52"/>
    <d v="2025-02-26T00:00:00"/>
    <x v="2"/>
    <x v="1"/>
    <x v="0"/>
    <x v="0"/>
    <x v="3"/>
    <x v="5"/>
    <x v="7"/>
    <x v="2"/>
  </r>
  <r>
    <s v="TX501406"/>
    <x v="3"/>
    <x v="0"/>
    <n v="70"/>
    <x v="1154"/>
    <x v="52"/>
    <d v="2025-02-23T00:00:00"/>
    <x v="2"/>
    <x v="0"/>
    <x v="0"/>
    <x v="0"/>
    <x v="3"/>
    <x v="3"/>
    <x v="7"/>
    <x v="2"/>
  </r>
  <r>
    <s v="TX501407"/>
    <x v="9"/>
    <x v="0"/>
    <n v="88"/>
    <x v="1155"/>
    <x v="52"/>
    <d v="2025-02-27T00:00:00"/>
    <x v="2"/>
    <x v="3"/>
    <x v="0"/>
    <x v="0"/>
    <x v="3"/>
    <x v="0"/>
    <x v="7"/>
    <x v="2"/>
  </r>
  <r>
    <s v="TX501408"/>
    <x v="2"/>
    <x v="2"/>
    <n v="74.099999999999994"/>
    <x v="1156"/>
    <x v="52"/>
    <d v="2025-02-22T00:00:00"/>
    <x v="1"/>
    <x v="4"/>
    <x v="1"/>
    <x v="0"/>
    <x v="3"/>
    <x v="7"/>
    <x v="7"/>
    <x v="1"/>
  </r>
  <r>
    <s v="TX501409"/>
    <x v="2"/>
    <x v="0"/>
    <n v="161.9"/>
    <x v="1157"/>
    <x v="52"/>
    <d v="2025-02-24T00:00:00"/>
    <x v="1"/>
    <x v="2"/>
    <x v="0"/>
    <x v="0"/>
    <x v="3"/>
    <x v="1"/>
    <x v="7"/>
    <x v="1"/>
  </r>
  <r>
    <s v="TX501410"/>
    <x v="4"/>
    <x v="1"/>
    <n v="44"/>
    <x v="1155"/>
    <x v="52"/>
    <d v="2025-02-23T00:00:00"/>
    <x v="3"/>
    <x v="4"/>
    <x v="1"/>
    <x v="0"/>
    <x v="3"/>
    <x v="3"/>
    <x v="7"/>
    <x v="3"/>
  </r>
  <r>
    <s v="TX501411"/>
    <x v="11"/>
    <x v="0"/>
    <n v="32.1"/>
    <x v="1158"/>
    <x v="52"/>
    <d v="2025-02-22T00:00:00"/>
    <x v="2"/>
    <x v="3"/>
    <x v="3"/>
    <x v="0"/>
    <x v="3"/>
    <x v="7"/>
    <x v="7"/>
    <x v="2"/>
  </r>
  <r>
    <s v="TX501412"/>
    <x v="2"/>
    <x v="12"/>
    <n v="104.8"/>
    <x v="1159"/>
    <x v="53"/>
    <d v="2025-02-25T00:00:00"/>
    <x v="3"/>
    <x v="0"/>
    <x v="0"/>
    <x v="0"/>
    <x v="3"/>
    <x v="1"/>
    <x v="8"/>
    <x v="3"/>
  </r>
  <r>
    <s v="TX501413"/>
    <x v="9"/>
    <x v="13"/>
    <n v="67.400000000000006"/>
    <x v="1160"/>
    <x v="53"/>
    <d v="2025-02-24T00:00:00"/>
    <x v="2"/>
    <x v="3"/>
    <x v="0"/>
    <x v="0"/>
    <x v="3"/>
    <x v="3"/>
    <x v="8"/>
    <x v="2"/>
  </r>
  <r>
    <s v="TX501414"/>
    <x v="6"/>
    <x v="1"/>
    <n v="115.2"/>
    <x v="1161"/>
    <x v="53"/>
    <d v="2025-02-24T00:00:00"/>
    <x v="2"/>
    <x v="1"/>
    <x v="0"/>
    <x v="0"/>
    <x v="4"/>
    <x v="3"/>
    <x v="8"/>
    <x v="2"/>
  </r>
  <r>
    <s v="TX501415"/>
    <x v="8"/>
    <x v="19"/>
    <n v="15.5"/>
    <x v="148"/>
    <x v="53"/>
    <d v="2025-02-25T00:00:00"/>
    <x v="2"/>
    <x v="0"/>
    <x v="1"/>
    <x v="0"/>
    <x v="23"/>
    <x v="1"/>
    <x v="8"/>
    <x v="2"/>
  </r>
  <r>
    <s v="TX501416"/>
    <x v="6"/>
    <x v="5"/>
    <n v="66.400000000000006"/>
    <x v="1162"/>
    <x v="53"/>
    <d v="2025-02-25T00:00:00"/>
    <x v="2"/>
    <x v="0"/>
    <x v="0"/>
    <x v="0"/>
    <x v="6"/>
    <x v="1"/>
    <x v="8"/>
    <x v="2"/>
  </r>
  <r>
    <s v="TX501417"/>
    <x v="9"/>
    <x v="4"/>
    <n v="68.099999999999994"/>
    <x v="1163"/>
    <x v="53"/>
    <d v="2025-02-24T00:00:00"/>
    <x v="2"/>
    <x v="2"/>
    <x v="0"/>
    <x v="0"/>
    <x v="8"/>
    <x v="3"/>
    <x v="8"/>
    <x v="2"/>
  </r>
  <r>
    <s v="TX501418"/>
    <x v="8"/>
    <x v="9"/>
    <n v="32.5"/>
    <x v="1164"/>
    <x v="53"/>
    <d v="2025-02-27T00:00:00"/>
    <x v="1"/>
    <x v="2"/>
    <x v="1"/>
    <x v="0"/>
    <x v="8"/>
    <x v="5"/>
    <x v="8"/>
    <x v="1"/>
  </r>
  <r>
    <s v="TX501419"/>
    <x v="15"/>
    <x v="2"/>
    <n v="61.2"/>
    <x v="1165"/>
    <x v="53"/>
    <d v="2025-02-25T00:00:00"/>
    <x v="2"/>
    <x v="1"/>
    <x v="1"/>
    <x v="0"/>
    <x v="8"/>
    <x v="1"/>
    <x v="8"/>
    <x v="2"/>
  </r>
  <r>
    <s v="TX501420"/>
    <x v="9"/>
    <x v="1"/>
    <n v="54.2"/>
    <x v="1061"/>
    <x v="53"/>
    <d v="2025-02-24T00:00:00"/>
    <x v="2"/>
    <x v="1"/>
    <x v="0"/>
    <x v="0"/>
    <x v="8"/>
    <x v="3"/>
    <x v="8"/>
    <x v="2"/>
  </r>
  <r>
    <s v="TX501421"/>
    <x v="11"/>
    <x v="8"/>
    <n v="28.7"/>
    <x v="1166"/>
    <x v="53"/>
    <d v="2025-02-25T00:00:00"/>
    <x v="1"/>
    <x v="1"/>
    <x v="0"/>
    <x v="0"/>
    <x v="9"/>
    <x v="1"/>
    <x v="8"/>
    <x v="1"/>
  </r>
  <r>
    <s v="TX501422"/>
    <x v="12"/>
    <x v="13"/>
    <n v="38.200000000000003"/>
    <x v="1167"/>
    <x v="53"/>
    <d v="2025-02-27T00:00:00"/>
    <x v="2"/>
    <x v="0"/>
    <x v="1"/>
    <x v="0"/>
    <x v="9"/>
    <x v="5"/>
    <x v="8"/>
    <x v="2"/>
  </r>
  <r>
    <s v="TX501423"/>
    <x v="8"/>
    <x v="4"/>
    <n v="17.600000000000001"/>
    <x v="1168"/>
    <x v="53"/>
    <d v="2025-02-24T00:00:00"/>
    <x v="2"/>
    <x v="2"/>
    <x v="1"/>
    <x v="0"/>
    <x v="9"/>
    <x v="3"/>
    <x v="8"/>
    <x v="2"/>
  </r>
  <r>
    <s v="TX501424"/>
    <x v="10"/>
    <x v="2"/>
    <n v="74.599999999999994"/>
    <x v="1169"/>
    <x v="53"/>
    <d v="2025-02-23T00:00:00"/>
    <x v="2"/>
    <x v="2"/>
    <x v="0"/>
    <x v="0"/>
    <x v="11"/>
    <x v="7"/>
    <x v="8"/>
    <x v="2"/>
  </r>
  <r>
    <s v="TX501425"/>
    <x v="16"/>
    <x v="20"/>
    <n v="72.599999999999994"/>
    <x v="1170"/>
    <x v="53"/>
    <d v="2025-02-23T00:00:00"/>
    <x v="0"/>
    <x v="1"/>
    <x v="1"/>
    <x v="0"/>
    <x v="11"/>
    <x v="7"/>
    <x v="8"/>
    <x v="0"/>
  </r>
  <r>
    <s v="TX501426"/>
    <x v="7"/>
    <x v="0"/>
    <n v="62.3"/>
    <x v="1030"/>
    <x v="53"/>
    <d v="2025-02-24T00:00:00"/>
    <x v="2"/>
    <x v="1"/>
    <x v="0"/>
    <x v="0"/>
    <x v="11"/>
    <x v="3"/>
    <x v="8"/>
    <x v="2"/>
  </r>
  <r>
    <s v="TX501427"/>
    <x v="3"/>
    <x v="2"/>
    <n v="33.799999999999997"/>
    <x v="1171"/>
    <x v="53"/>
    <d v="2025-02-25T00:00:00"/>
    <x v="1"/>
    <x v="0"/>
    <x v="2"/>
    <x v="0"/>
    <x v="20"/>
    <x v="1"/>
    <x v="8"/>
    <x v="1"/>
  </r>
  <r>
    <s v="TX501428"/>
    <x v="9"/>
    <x v="0"/>
    <n v="85.7"/>
    <x v="1172"/>
    <x v="53"/>
    <d v="2025-02-26T00:00:00"/>
    <x v="1"/>
    <x v="3"/>
    <x v="1"/>
    <x v="0"/>
    <x v="21"/>
    <x v="2"/>
    <x v="8"/>
    <x v="1"/>
  </r>
  <r>
    <s v="TX501429"/>
    <x v="6"/>
    <x v="1"/>
    <n v="92.1"/>
    <x v="1173"/>
    <x v="53"/>
    <d v="2025-02-25T00:00:00"/>
    <x v="1"/>
    <x v="1"/>
    <x v="0"/>
    <x v="0"/>
    <x v="21"/>
    <x v="1"/>
    <x v="8"/>
    <x v="1"/>
  </r>
  <r>
    <s v="TX501430"/>
    <x v="16"/>
    <x v="2"/>
    <n v="65.099999999999994"/>
    <x v="1174"/>
    <x v="53"/>
    <d v="2025-02-26T00:00:00"/>
    <x v="1"/>
    <x v="0"/>
    <x v="0"/>
    <x v="0"/>
    <x v="1"/>
    <x v="2"/>
    <x v="8"/>
    <x v="1"/>
  </r>
  <r>
    <s v="TX501431"/>
    <x v="9"/>
    <x v="3"/>
    <n v="20.3"/>
    <x v="1175"/>
    <x v="53"/>
    <d v="2025-02-24T00:00:00"/>
    <x v="2"/>
    <x v="2"/>
    <x v="2"/>
    <x v="0"/>
    <x v="2"/>
    <x v="3"/>
    <x v="8"/>
    <x v="2"/>
  </r>
  <r>
    <s v="TX501432"/>
    <x v="19"/>
    <x v="1"/>
    <n v="29.8"/>
    <x v="1176"/>
    <x v="53"/>
    <d v="2025-02-25T00:00:00"/>
    <x v="2"/>
    <x v="1"/>
    <x v="2"/>
    <x v="0"/>
    <x v="34"/>
    <x v="1"/>
    <x v="8"/>
    <x v="2"/>
  </r>
  <r>
    <s v="TX501433"/>
    <x v="0"/>
    <x v="1"/>
    <n v="24.2"/>
    <x v="655"/>
    <x v="53"/>
    <d v="2025-02-25T00:00:00"/>
    <x v="2"/>
    <x v="3"/>
    <x v="2"/>
    <x v="0"/>
    <x v="3"/>
    <x v="1"/>
    <x v="8"/>
    <x v="2"/>
  </r>
  <r>
    <s v="TX501434"/>
    <x v="3"/>
    <x v="0"/>
    <n v="57.3"/>
    <x v="1177"/>
    <x v="53"/>
    <d v="2025-02-25T00:00:00"/>
    <x v="1"/>
    <x v="0"/>
    <x v="0"/>
    <x v="0"/>
    <x v="3"/>
    <x v="1"/>
    <x v="8"/>
    <x v="1"/>
  </r>
  <r>
    <s v="TX501435"/>
    <x v="2"/>
    <x v="0"/>
    <n v="108.9"/>
    <x v="1178"/>
    <x v="53"/>
    <d v="2025-02-25T00:00:00"/>
    <x v="2"/>
    <x v="1"/>
    <x v="0"/>
    <x v="0"/>
    <x v="3"/>
    <x v="1"/>
    <x v="8"/>
    <x v="2"/>
  </r>
  <r>
    <s v="TX501436"/>
    <x v="7"/>
    <x v="9"/>
    <n v="50.7"/>
    <x v="103"/>
    <x v="53"/>
    <d v="2025-02-24T00:00:00"/>
    <x v="2"/>
    <x v="0"/>
    <x v="0"/>
    <x v="0"/>
    <x v="3"/>
    <x v="3"/>
    <x v="8"/>
    <x v="2"/>
  </r>
  <r>
    <s v="TX501437"/>
    <x v="7"/>
    <x v="11"/>
    <n v="66.099999999999994"/>
    <x v="1179"/>
    <x v="53"/>
    <d v="2025-03-09T00:00:00"/>
    <x v="2"/>
    <x v="1"/>
    <x v="0"/>
    <x v="0"/>
    <x v="3"/>
    <x v="12"/>
    <x v="8"/>
    <x v="2"/>
  </r>
  <r>
    <s v="TX501438"/>
    <x v="12"/>
    <x v="9"/>
    <n v="36.700000000000003"/>
    <x v="1180"/>
    <x v="53"/>
    <d v="2025-02-27T00:00:00"/>
    <x v="2"/>
    <x v="4"/>
    <x v="0"/>
    <x v="0"/>
    <x v="3"/>
    <x v="5"/>
    <x v="8"/>
    <x v="2"/>
  </r>
  <r>
    <s v="TX501439"/>
    <x v="8"/>
    <x v="14"/>
    <n v="19.3"/>
    <x v="1181"/>
    <x v="53"/>
    <d v="2025-02-25T00:00:00"/>
    <x v="1"/>
    <x v="0"/>
    <x v="0"/>
    <x v="0"/>
    <x v="43"/>
    <x v="1"/>
    <x v="8"/>
    <x v="1"/>
  </r>
  <r>
    <s v="TX501440"/>
    <x v="8"/>
    <x v="12"/>
    <n v="20.7"/>
    <x v="1182"/>
    <x v="53"/>
    <d v="2025-02-24T00:00:00"/>
    <x v="1"/>
    <x v="1"/>
    <x v="2"/>
    <x v="0"/>
    <x v="6"/>
    <x v="3"/>
    <x v="8"/>
    <x v="1"/>
  </r>
  <r>
    <s v="TX501441"/>
    <x v="5"/>
    <x v="2"/>
    <n v="54.7"/>
    <x v="1183"/>
    <x v="53"/>
    <d v="2025-02-23T00:00:00"/>
    <x v="3"/>
    <x v="1"/>
    <x v="4"/>
    <x v="0"/>
    <x v="6"/>
    <x v="7"/>
    <x v="8"/>
    <x v="3"/>
  </r>
  <r>
    <s v="TX501442"/>
    <x v="4"/>
    <x v="1"/>
    <n v="19.8"/>
    <x v="341"/>
    <x v="53"/>
    <d v="2025-02-27T00:00:00"/>
    <x v="2"/>
    <x v="4"/>
    <x v="1"/>
    <x v="0"/>
    <x v="8"/>
    <x v="5"/>
    <x v="8"/>
    <x v="2"/>
  </r>
  <r>
    <s v="TX501443"/>
    <x v="7"/>
    <x v="0"/>
    <n v="41.1"/>
    <x v="1184"/>
    <x v="53"/>
    <d v="2025-02-25T00:00:00"/>
    <x v="2"/>
    <x v="0"/>
    <x v="2"/>
    <x v="0"/>
    <x v="8"/>
    <x v="1"/>
    <x v="8"/>
    <x v="2"/>
  </r>
  <r>
    <s v="TX501444"/>
    <x v="11"/>
    <x v="8"/>
    <n v="43.5"/>
    <x v="1185"/>
    <x v="53"/>
    <d v="2025-02-27T00:00:00"/>
    <x v="2"/>
    <x v="3"/>
    <x v="0"/>
    <x v="0"/>
    <x v="8"/>
    <x v="5"/>
    <x v="8"/>
    <x v="2"/>
  </r>
  <r>
    <s v="TX501445"/>
    <x v="8"/>
    <x v="21"/>
    <n v="19"/>
    <x v="751"/>
    <x v="53"/>
    <d v="2025-02-24T00:00:00"/>
    <x v="1"/>
    <x v="0"/>
    <x v="0"/>
    <x v="0"/>
    <x v="26"/>
    <x v="3"/>
    <x v="8"/>
    <x v="1"/>
  </r>
  <r>
    <s v="TX501446"/>
    <x v="2"/>
    <x v="12"/>
    <n v="51.4"/>
    <x v="1186"/>
    <x v="53"/>
    <d v="2025-02-23T00:00:00"/>
    <x v="2"/>
    <x v="0"/>
    <x v="0"/>
    <x v="0"/>
    <x v="26"/>
    <x v="7"/>
    <x v="8"/>
    <x v="2"/>
  </r>
  <r>
    <s v="TX501447"/>
    <x v="10"/>
    <x v="1"/>
    <n v="39.799999999999997"/>
    <x v="1187"/>
    <x v="53"/>
    <d v="2025-02-26T00:00:00"/>
    <x v="1"/>
    <x v="3"/>
    <x v="1"/>
    <x v="0"/>
    <x v="13"/>
    <x v="2"/>
    <x v="8"/>
    <x v="1"/>
  </r>
  <r>
    <s v="TX501448"/>
    <x v="6"/>
    <x v="9"/>
    <n v="61"/>
    <x v="1188"/>
    <x v="53"/>
    <d v="2025-02-24T00:00:00"/>
    <x v="0"/>
    <x v="0"/>
    <x v="2"/>
    <x v="0"/>
    <x v="21"/>
    <x v="3"/>
    <x v="8"/>
    <x v="0"/>
  </r>
  <r>
    <s v="TX501449"/>
    <x v="8"/>
    <x v="5"/>
    <n v="15.1"/>
    <x v="1189"/>
    <x v="54"/>
    <d v="2025-03-01T00:00:00"/>
    <x v="1"/>
    <x v="3"/>
    <x v="2"/>
    <x v="0"/>
    <x v="2"/>
    <x v="0"/>
    <x v="8"/>
    <x v="1"/>
  </r>
  <r>
    <s v="TX501450"/>
    <x v="1"/>
    <x v="3"/>
    <n v="71.3"/>
    <x v="1190"/>
    <x v="54"/>
    <d v="2025-02-25T00:00:00"/>
    <x v="1"/>
    <x v="4"/>
    <x v="0"/>
    <x v="0"/>
    <x v="3"/>
    <x v="3"/>
    <x v="8"/>
    <x v="1"/>
  </r>
  <r>
    <s v="TX501451"/>
    <x v="10"/>
    <x v="0"/>
    <n v="25.8"/>
    <x v="1191"/>
    <x v="54"/>
    <d v="2025-02-26T00:00:00"/>
    <x v="2"/>
    <x v="0"/>
    <x v="2"/>
    <x v="0"/>
    <x v="3"/>
    <x v="1"/>
    <x v="8"/>
    <x v="2"/>
  </r>
  <r>
    <s v="TX501452"/>
    <x v="8"/>
    <x v="9"/>
    <n v="39.6"/>
    <x v="1192"/>
    <x v="54"/>
    <d v="2025-02-26T00:00:00"/>
    <x v="1"/>
    <x v="1"/>
    <x v="2"/>
    <x v="0"/>
    <x v="3"/>
    <x v="1"/>
    <x v="8"/>
    <x v="1"/>
  </r>
  <r>
    <s v="TX501453"/>
    <x v="5"/>
    <x v="1"/>
    <n v="64"/>
    <x v="1193"/>
    <x v="54"/>
    <d v="2025-02-24T00:00:00"/>
    <x v="1"/>
    <x v="1"/>
    <x v="1"/>
    <x v="0"/>
    <x v="3"/>
    <x v="7"/>
    <x v="8"/>
    <x v="1"/>
  </r>
  <r>
    <s v="TX501454"/>
    <x v="8"/>
    <x v="1"/>
    <n v="30.6"/>
    <x v="1"/>
    <x v="54"/>
    <d v="2025-02-27T00:00:00"/>
    <x v="1"/>
    <x v="0"/>
    <x v="2"/>
    <x v="0"/>
    <x v="3"/>
    <x v="2"/>
    <x v="8"/>
    <x v="1"/>
  </r>
  <r>
    <s v="TX501455"/>
    <x v="8"/>
    <x v="1"/>
    <n v="21.3"/>
    <x v="440"/>
    <x v="54"/>
    <d v="2025-02-25T00:00:00"/>
    <x v="1"/>
    <x v="0"/>
    <x v="1"/>
    <x v="0"/>
    <x v="3"/>
    <x v="3"/>
    <x v="8"/>
    <x v="1"/>
  </r>
  <r>
    <s v="TX501456"/>
    <x v="7"/>
    <x v="0"/>
    <n v="40.799999999999997"/>
    <x v="803"/>
    <x v="54"/>
    <d v="2025-02-26T00:00:00"/>
    <x v="2"/>
    <x v="4"/>
    <x v="0"/>
    <x v="0"/>
    <x v="3"/>
    <x v="1"/>
    <x v="8"/>
    <x v="2"/>
  </r>
  <r>
    <s v="TX501457"/>
    <x v="9"/>
    <x v="12"/>
    <n v="27.7"/>
    <x v="806"/>
    <x v="54"/>
    <d v="2025-02-25T00:00:00"/>
    <x v="2"/>
    <x v="0"/>
    <x v="1"/>
    <x v="0"/>
    <x v="3"/>
    <x v="3"/>
    <x v="8"/>
    <x v="2"/>
  </r>
  <r>
    <s v="TX501458"/>
    <x v="6"/>
    <x v="1"/>
    <n v="64.599999999999994"/>
    <x v="769"/>
    <x v="54"/>
    <d v="2025-02-25T00:00:00"/>
    <x v="1"/>
    <x v="0"/>
    <x v="1"/>
    <x v="0"/>
    <x v="3"/>
    <x v="3"/>
    <x v="8"/>
    <x v="1"/>
  </r>
  <r>
    <s v="TX501459"/>
    <x v="6"/>
    <x v="27"/>
    <n v="91.1"/>
    <x v="1194"/>
    <x v="54"/>
    <d v="2025-02-25T00:00:00"/>
    <x v="2"/>
    <x v="1"/>
    <x v="2"/>
    <x v="0"/>
    <x v="3"/>
    <x v="3"/>
    <x v="8"/>
    <x v="2"/>
  </r>
  <r>
    <s v="TX501460"/>
    <x v="1"/>
    <x v="0"/>
    <n v="39.5"/>
    <x v="736"/>
    <x v="54"/>
    <d v="2025-03-04T00:00:00"/>
    <x v="2"/>
    <x v="0"/>
    <x v="0"/>
    <x v="0"/>
    <x v="3"/>
    <x v="9"/>
    <x v="8"/>
    <x v="2"/>
  </r>
  <r>
    <s v="TX501461"/>
    <x v="9"/>
    <x v="1"/>
    <n v="21.8"/>
    <x v="1195"/>
    <x v="54"/>
    <d v="2025-02-28T00:00:00"/>
    <x v="1"/>
    <x v="4"/>
    <x v="2"/>
    <x v="0"/>
    <x v="3"/>
    <x v="5"/>
    <x v="8"/>
    <x v="1"/>
  </r>
  <r>
    <s v="TX501462"/>
    <x v="8"/>
    <x v="1"/>
    <n v="51"/>
    <x v="1062"/>
    <x v="54"/>
    <d v="2025-02-27T00:00:00"/>
    <x v="1"/>
    <x v="3"/>
    <x v="2"/>
    <x v="0"/>
    <x v="3"/>
    <x v="2"/>
    <x v="8"/>
    <x v="1"/>
  </r>
  <r>
    <s v="TX501463"/>
    <x v="2"/>
    <x v="0"/>
    <n v="92.6"/>
    <x v="1196"/>
    <x v="54"/>
    <d v="2025-02-27T00:00:00"/>
    <x v="2"/>
    <x v="0"/>
    <x v="2"/>
    <x v="0"/>
    <x v="35"/>
    <x v="2"/>
    <x v="8"/>
    <x v="2"/>
  </r>
  <r>
    <s v="TX501464"/>
    <x v="9"/>
    <x v="1"/>
    <n v="31.1"/>
    <x v="1197"/>
    <x v="54"/>
    <d v="2025-03-01T00:00:00"/>
    <x v="0"/>
    <x v="1"/>
    <x v="3"/>
    <x v="0"/>
    <x v="23"/>
    <x v="0"/>
    <x v="8"/>
    <x v="0"/>
  </r>
  <r>
    <s v="TX501465"/>
    <x v="5"/>
    <x v="2"/>
    <n v="56.4"/>
    <x v="362"/>
    <x v="54"/>
    <d v="2025-02-25T00:00:00"/>
    <x v="0"/>
    <x v="1"/>
    <x v="0"/>
    <x v="0"/>
    <x v="6"/>
    <x v="3"/>
    <x v="8"/>
    <x v="0"/>
  </r>
  <r>
    <s v="TX501466"/>
    <x v="9"/>
    <x v="0"/>
    <n v="41.9"/>
    <x v="1151"/>
    <x v="54"/>
    <d v="2025-02-24T00:00:00"/>
    <x v="1"/>
    <x v="1"/>
    <x v="0"/>
    <x v="0"/>
    <x v="6"/>
    <x v="7"/>
    <x v="8"/>
    <x v="1"/>
  </r>
  <r>
    <s v="TX501467"/>
    <x v="10"/>
    <x v="3"/>
    <n v="45.9"/>
    <x v="1198"/>
    <x v="54"/>
    <d v="2025-02-25T00:00:00"/>
    <x v="1"/>
    <x v="3"/>
    <x v="2"/>
    <x v="0"/>
    <x v="8"/>
    <x v="3"/>
    <x v="8"/>
    <x v="1"/>
  </r>
  <r>
    <s v="TX501468"/>
    <x v="14"/>
    <x v="11"/>
    <n v="24.4"/>
    <x v="1199"/>
    <x v="54"/>
    <d v="2025-02-28T00:00:00"/>
    <x v="1"/>
    <x v="3"/>
    <x v="2"/>
    <x v="0"/>
    <x v="8"/>
    <x v="5"/>
    <x v="8"/>
    <x v="1"/>
  </r>
  <r>
    <s v="TX501469"/>
    <x v="8"/>
    <x v="0"/>
    <n v="18.2"/>
    <x v="1200"/>
    <x v="54"/>
    <d v="2025-02-25T00:00:00"/>
    <x v="2"/>
    <x v="2"/>
    <x v="2"/>
    <x v="0"/>
    <x v="8"/>
    <x v="3"/>
    <x v="8"/>
    <x v="2"/>
  </r>
  <r>
    <s v="TX501470"/>
    <x v="8"/>
    <x v="12"/>
    <n v="51.2"/>
    <x v="403"/>
    <x v="54"/>
    <d v="2025-02-25T00:00:00"/>
    <x v="2"/>
    <x v="0"/>
    <x v="0"/>
    <x v="0"/>
    <x v="8"/>
    <x v="3"/>
    <x v="8"/>
    <x v="2"/>
  </r>
  <r>
    <s v="TX501471"/>
    <x v="6"/>
    <x v="0"/>
    <n v="59.7"/>
    <x v="1201"/>
    <x v="54"/>
    <d v="2025-02-27T00:00:00"/>
    <x v="1"/>
    <x v="0"/>
    <x v="2"/>
    <x v="0"/>
    <x v="8"/>
    <x v="2"/>
    <x v="8"/>
    <x v="1"/>
  </r>
  <r>
    <s v="TX501472"/>
    <x v="4"/>
    <x v="1"/>
    <n v="33.6"/>
    <x v="863"/>
    <x v="54"/>
    <d v="2025-02-26T00:00:00"/>
    <x v="2"/>
    <x v="0"/>
    <x v="0"/>
    <x v="0"/>
    <x v="17"/>
    <x v="1"/>
    <x v="8"/>
    <x v="2"/>
  </r>
  <r>
    <s v="TX501473"/>
    <x v="12"/>
    <x v="0"/>
    <n v="90.4"/>
    <x v="786"/>
    <x v="54"/>
    <d v="2025-02-28T00:00:00"/>
    <x v="1"/>
    <x v="1"/>
    <x v="2"/>
    <x v="0"/>
    <x v="10"/>
    <x v="5"/>
    <x v="8"/>
    <x v="1"/>
  </r>
  <r>
    <s v="TX501474"/>
    <x v="11"/>
    <x v="2"/>
    <n v="70.3"/>
    <x v="1202"/>
    <x v="54"/>
    <d v="2025-02-24T00:00:00"/>
    <x v="1"/>
    <x v="1"/>
    <x v="2"/>
    <x v="0"/>
    <x v="11"/>
    <x v="7"/>
    <x v="8"/>
    <x v="1"/>
  </r>
  <r>
    <s v="TX501475"/>
    <x v="4"/>
    <x v="1"/>
    <n v="20.5"/>
    <x v="783"/>
    <x v="54"/>
    <d v="2025-02-27T00:00:00"/>
    <x v="2"/>
    <x v="0"/>
    <x v="1"/>
    <x v="0"/>
    <x v="11"/>
    <x v="2"/>
    <x v="8"/>
    <x v="2"/>
  </r>
  <r>
    <s v="TX501476"/>
    <x v="5"/>
    <x v="5"/>
    <n v="37.6"/>
    <x v="1203"/>
    <x v="54"/>
    <d v="2025-02-25T00:00:00"/>
    <x v="1"/>
    <x v="0"/>
    <x v="0"/>
    <x v="0"/>
    <x v="38"/>
    <x v="3"/>
    <x v="8"/>
    <x v="1"/>
  </r>
  <r>
    <s v="TX501477"/>
    <x v="5"/>
    <x v="12"/>
    <n v="61.5"/>
    <x v="1204"/>
    <x v="54"/>
    <d v="2025-03-03T00:00:00"/>
    <x v="2"/>
    <x v="1"/>
    <x v="4"/>
    <x v="0"/>
    <x v="13"/>
    <x v="6"/>
    <x v="8"/>
    <x v="2"/>
  </r>
  <r>
    <s v="TX501478"/>
    <x v="9"/>
    <x v="0"/>
    <n v="33.5"/>
    <x v="253"/>
    <x v="55"/>
    <d v="2025-03-01T00:00:00"/>
    <x v="1"/>
    <x v="4"/>
    <x v="1"/>
    <x v="0"/>
    <x v="21"/>
    <x v="5"/>
    <x v="8"/>
    <x v="1"/>
  </r>
  <r>
    <s v="TX501479"/>
    <x v="4"/>
    <x v="2"/>
    <n v="29.3"/>
    <x v="1205"/>
    <x v="55"/>
    <d v="2025-02-27T00:00:00"/>
    <x v="2"/>
    <x v="1"/>
    <x v="2"/>
    <x v="0"/>
    <x v="1"/>
    <x v="1"/>
    <x v="8"/>
    <x v="2"/>
  </r>
  <r>
    <s v="TX501480"/>
    <x v="2"/>
    <x v="1"/>
    <n v="125.9"/>
    <x v="1206"/>
    <x v="55"/>
    <d v="2025-03-02T00:00:00"/>
    <x v="2"/>
    <x v="4"/>
    <x v="1"/>
    <x v="0"/>
    <x v="1"/>
    <x v="0"/>
    <x v="8"/>
    <x v="2"/>
  </r>
  <r>
    <s v="TX501481"/>
    <x v="5"/>
    <x v="9"/>
    <n v="29.3"/>
    <x v="1207"/>
    <x v="55"/>
    <d v="2025-02-25T00:00:00"/>
    <x v="1"/>
    <x v="2"/>
    <x v="0"/>
    <x v="0"/>
    <x v="44"/>
    <x v="7"/>
    <x v="8"/>
    <x v="1"/>
  </r>
  <r>
    <s v="TX501482"/>
    <x v="9"/>
    <x v="0"/>
    <n v="37.799999999999997"/>
    <x v="463"/>
    <x v="55"/>
    <d v="2025-02-28T00:00:00"/>
    <x v="2"/>
    <x v="0"/>
    <x v="2"/>
    <x v="0"/>
    <x v="3"/>
    <x v="2"/>
    <x v="8"/>
    <x v="2"/>
  </r>
  <r>
    <s v="TX501483"/>
    <x v="0"/>
    <x v="12"/>
    <n v="31.7"/>
    <x v="1208"/>
    <x v="55"/>
    <d v="2025-02-26T00:00:00"/>
    <x v="1"/>
    <x v="2"/>
    <x v="2"/>
    <x v="0"/>
    <x v="3"/>
    <x v="3"/>
    <x v="8"/>
    <x v="1"/>
  </r>
  <r>
    <s v="TX501484"/>
    <x v="8"/>
    <x v="9"/>
    <n v="26.3"/>
    <x v="1209"/>
    <x v="55"/>
    <d v="2025-02-26T00:00:00"/>
    <x v="2"/>
    <x v="3"/>
    <x v="2"/>
    <x v="0"/>
    <x v="3"/>
    <x v="3"/>
    <x v="8"/>
    <x v="2"/>
  </r>
  <r>
    <s v="TX501485"/>
    <x v="8"/>
    <x v="2"/>
    <n v="23.1"/>
    <x v="59"/>
    <x v="55"/>
    <d v="2025-02-26T00:00:00"/>
    <x v="3"/>
    <x v="2"/>
    <x v="1"/>
    <x v="0"/>
    <x v="3"/>
    <x v="3"/>
    <x v="8"/>
    <x v="3"/>
  </r>
  <r>
    <s v="TX501486"/>
    <x v="4"/>
    <x v="0"/>
    <n v="22.3"/>
    <x v="968"/>
    <x v="55"/>
    <d v="2025-02-27T00:00:00"/>
    <x v="2"/>
    <x v="2"/>
    <x v="0"/>
    <x v="0"/>
    <x v="3"/>
    <x v="1"/>
    <x v="8"/>
    <x v="2"/>
  </r>
  <r>
    <s v="TX501487"/>
    <x v="12"/>
    <x v="1"/>
    <n v="99.5"/>
    <x v="1210"/>
    <x v="55"/>
    <d v="2025-02-27T00:00:00"/>
    <x v="2"/>
    <x v="2"/>
    <x v="0"/>
    <x v="0"/>
    <x v="3"/>
    <x v="1"/>
    <x v="8"/>
    <x v="2"/>
  </r>
  <r>
    <s v="TX501488"/>
    <x v="12"/>
    <x v="12"/>
    <n v="47.4"/>
    <x v="455"/>
    <x v="55"/>
    <d v="2025-02-28T00:00:00"/>
    <x v="2"/>
    <x v="1"/>
    <x v="0"/>
    <x v="0"/>
    <x v="3"/>
    <x v="2"/>
    <x v="8"/>
    <x v="2"/>
  </r>
  <r>
    <s v="TX501489"/>
    <x v="0"/>
    <x v="5"/>
    <n v="37.5"/>
    <x v="1211"/>
    <x v="55"/>
    <d v="2025-02-27T00:00:00"/>
    <x v="2"/>
    <x v="0"/>
    <x v="3"/>
    <x v="0"/>
    <x v="3"/>
    <x v="1"/>
    <x v="8"/>
    <x v="2"/>
  </r>
  <r>
    <s v="TX501490"/>
    <x v="10"/>
    <x v="0"/>
    <n v="45.1"/>
    <x v="1212"/>
    <x v="55"/>
    <d v="2025-03-02T00:00:00"/>
    <x v="1"/>
    <x v="3"/>
    <x v="2"/>
    <x v="0"/>
    <x v="24"/>
    <x v="0"/>
    <x v="8"/>
    <x v="1"/>
  </r>
  <r>
    <s v="TX501491"/>
    <x v="5"/>
    <x v="7"/>
    <n v="34.4"/>
    <x v="1213"/>
    <x v="55"/>
    <d v="2025-02-28T00:00:00"/>
    <x v="1"/>
    <x v="2"/>
    <x v="0"/>
    <x v="0"/>
    <x v="16"/>
    <x v="2"/>
    <x v="8"/>
    <x v="1"/>
  </r>
  <r>
    <s v="TX501492"/>
    <x v="4"/>
    <x v="1"/>
    <n v="38"/>
    <x v="998"/>
    <x v="55"/>
    <d v="2025-02-27T00:00:00"/>
    <x v="2"/>
    <x v="1"/>
    <x v="0"/>
    <x v="0"/>
    <x v="5"/>
    <x v="1"/>
    <x v="8"/>
    <x v="2"/>
  </r>
  <r>
    <s v="TX501493"/>
    <x v="3"/>
    <x v="21"/>
    <n v="32.4"/>
    <x v="1214"/>
    <x v="55"/>
    <d v="2025-02-28T00:00:00"/>
    <x v="1"/>
    <x v="4"/>
    <x v="0"/>
    <x v="0"/>
    <x v="6"/>
    <x v="2"/>
    <x v="8"/>
    <x v="1"/>
  </r>
  <r>
    <s v="TX501494"/>
    <x v="6"/>
    <x v="2"/>
    <n v="40.9"/>
    <x v="544"/>
    <x v="55"/>
    <d v="2025-02-25T00:00:00"/>
    <x v="0"/>
    <x v="1"/>
    <x v="0"/>
    <x v="0"/>
    <x v="8"/>
    <x v="7"/>
    <x v="8"/>
    <x v="0"/>
  </r>
  <r>
    <s v="TX501495"/>
    <x v="7"/>
    <x v="3"/>
    <n v="76.2"/>
    <x v="1215"/>
    <x v="55"/>
    <d v="2025-02-27T00:00:00"/>
    <x v="2"/>
    <x v="2"/>
    <x v="1"/>
    <x v="0"/>
    <x v="8"/>
    <x v="1"/>
    <x v="8"/>
    <x v="2"/>
  </r>
  <r>
    <s v="TX501496"/>
    <x v="2"/>
    <x v="0"/>
    <n v="85.6"/>
    <x v="1216"/>
    <x v="55"/>
    <d v="2025-02-27T00:00:00"/>
    <x v="1"/>
    <x v="2"/>
    <x v="0"/>
    <x v="0"/>
    <x v="8"/>
    <x v="1"/>
    <x v="8"/>
    <x v="1"/>
  </r>
  <r>
    <s v="TX501497"/>
    <x v="4"/>
    <x v="12"/>
    <n v="25"/>
    <x v="1217"/>
    <x v="55"/>
    <d v="2025-02-27T00:00:00"/>
    <x v="2"/>
    <x v="2"/>
    <x v="2"/>
    <x v="0"/>
    <x v="8"/>
    <x v="1"/>
    <x v="8"/>
    <x v="2"/>
  </r>
  <r>
    <s v="TX501498"/>
    <x v="2"/>
    <x v="9"/>
    <n v="150.69999999999999"/>
    <x v="1218"/>
    <x v="55"/>
    <d v="2025-02-26T00:00:00"/>
    <x v="0"/>
    <x v="0"/>
    <x v="2"/>
    <x v="0"/>
    <x v="8"/>
    <x v="3"/>
    <x v="8"/>
    <x v="0"/>
  </r>
  <r>
    <s v="TX501499"/>
    <x v="8"/>
    <x v="0"/>
    <n v="19.600000000000001"/>
    <x v="1219"/>
    <x v="55"/>
    <d v="2025-02-26T00:00:00"/>
    <x v="1"/>
    <x v="1"/>
    <x v="4"/>
    <x v="0"/>
    <x v="8"/>
    <x v="3"/>
    <x v="8"/>
    <x v="1"/>
  </r>
  <r>
    <s v="TX501500"/>
    <x v="13"/>
    <x v="1"/>
    <n v="37.5"/>
    <x v="611"/>
    <x v="55"/>
    <d v="2025-02-28T00:00:00"/>
    <x v="2"/>
    <x v="1"/>
    <x v="2"/>
    <x v="0"/>
    <x v="17"/>
    <x v="2"/>
    <x v="8"/>
    <x v="2"/>
  </r>
  <r>
    <s v="TX501501"/>
    <x v="9"/>
    <x v="2"/>
    <n v="51.9"/>
    <x v="515"/>
    <x v="55"/>
    <d v="2025-03-03T00:00:00"/>
    <x v="2"/>
    <x v="0"/>
    <x v="4"/>
    <x v="0"/>
    <x v="11"/>
    <x v="4"/>
    <x v="8"/>
    <x v="2"/>
  </r>
  <r>
    <s v="TX501502"/>
    <x v="1"/>
    <x v="1"/>
    <n v="30.9"/>
    <x v="546"/>
    <x v="55"/>
    <d v="2025-02-27T00:00:00"/>
    <x v="2"/>
    <x v="1"/>
    <x v="0"/>
    <x v="0"/>
    <x v="18"/>
    <x v="1"/>
    <x v="8"/>
    <x v="2"/>
  </r>
  <r>
    <s v="TX501503"/>
    <x v="4"/>
    <x v="2"/>
    <n v="21.2"/>
    <x v="1220"/>
    <x v="55"/>
    <d v="2025-02-28T00:00:00"/>
    <x v="2"/>
    <x v="1"/>
    <x v="0"/>
    <x v="0"/>
    <x v="19"/>
    <x v="2"/>
    <x v="8"/>
    <x v="2"/>
  </r>
  <r>
    <s v="TX501504"/>
    <x v="13"/>
    <x v="14"/>
    <n v="17.5"/>
    <x v="1221"/>
    <x v="55"/>
    <d v="2025-02-26T00:00:00"/>
    <x v="1"/>
    <x v="1"/>
    <x v="1"/>
    <x v="0"/>
    <x v="13"/>
    <x v="3"/>
    <x v="8"/>
    <x v="1"/>
  </r>
  <r>
    <s v="TX501505"/>
    <x v="12"/>
    <x v="1"/>
    <n v="53.8"/>
    <x v="799"/>
    <x v="55"/>
    <d v="2025-03-02T00:00:00"/>
    <x v="2"/>
    <x v="0"/>
    <x v="2"/>
    <x v="0"/>
    <x v="21"/>
    <x v="0"/>
    <x v="8"/>
    <x v="2"/>
  </r>
  <r>
    <s v="TX501506"/>
    <x v="19"/>
    <x v="1"/>
    <n v="17"/>
    <x v="1222"/>
    <x v="55"/>
    <d v="2025-02-26T00:00:00"/>
    <x v="1"/>
    <x v="3"/>
    <x v="0"/>
    <x v="0"/>
    <x v="21"/>
    <x v="3"/>
    <x v="8"/>
    <x v="1"/>
  </r>
  <r>
    <s v="TX501507"/>
    <x v="6"/>
    <x v="0"/>
    <n v="103.2"/>
    <x v="1223"/>
    <x v="55"/>
    <d v="2025-03-05T00:00:00"/>
    <x v="1"/>
    <x v="2"/>
    <x v="1"/>
    <x v="0"/>
    <x v="1"/>
    <x v="9"/>
    <x v="8"/>
    <x v="1"/>
  </r>
  <r>
    <s v="TX501508"/>
    <x v="6"/>
    <x v="12"/>
    <n v="70.3"/>
    <x v="552"/>
    <x v="55"/>
    <d v="2025-02-26T00:00:00"/>
    <x v="1"/>
    <x v="0"/>
    <x v="0"/>
    <x v="0"/>
    <x v="3"/>
    <x v="3"/>
    <x v="8"/>
    <x v="1"/>
  </r>
  <r>
    <s v="TX501509"/>
    <x v="2"/>
    <x v="1"/>
    <n v="73.8"/>
    <x v="1224"/>
    <x v="55"/>
    <d v="2025-02-25T00:00:00"/>
    <x v="1"/>
    <x v="3"/>
    <x v="2"/>
    <x v="0"/>
    <x v="3"/>
    <x v="7"/>
    <x v="8"/>
    <x v="1"/>
  </r>
  <r>
    <s v="TX501510"/>
    <x v="1"/>
    <x v="4"/>
    <n v="67.7"/>
    <x v="1225"/>
    <x v="55"/>
    <d v="2025-03-01T00:00:00"/>
    <x v="1"/>
    <x v="1"/>
    <x v="1"/>
    <x v="0"/>
    <x v="3"/>
    <x v="5"/>
    <x v="8"/>
    <x v="1"/>
  </r>
  <r>
    <s v="TX501511"/>
    <x v="13"/>
    <x v="3"/>
    <n v="43.8"/>
    <x v="1226"/>
    <x v="55"/>
    <d v="2025-02-27T00:00:00"/>
    <x v="1"/>
    <x v="1"/>
    <x v="0"/>
    <x v="0"/>
    <x v="3"/>
    <x v="1"/>
    <x v="8"/>
    <x v="1"/>
  </r>
  <r>
    <s v="TX501512"/>
    <x v="17"/>
    <x v="13"/>
    <n v="71.900000000000006"/>
    <x v="1227"/>
    <x v="55"/>
    <d v="2025-02-26T00:00:00"/>
    <x v="2"/>
    <x v="2"/>
    <x v="0"/>
    <x v="0"/>
    <x v="3"/>
    <x v="3"/>
    <x v="8"/>
    <x v="2"/>
  </r>
  <r>
    <s v="TX501513"/>
    <x v="8"/>
    <x v="1"/>
    <n v="26.3"/>
    <x v="1228"/>
    <x v="56"/>
    <d v="2025-02-28T00:00:00"/>
    <x v="2"/>
    <x v="0"/>
    <x v="1"/>
    <x v="0"/>
    <x v="3"/>
    <x v="1"/>
    <x v="8"/>
    <x v="2"/>
  </r>
  <r>
    <s v="TX501514"/>
    <x v="6"/>
    <x v="12"/>
    <n v="52.6"/>
    <x v="138"/>
    <x v="56"/>
    <d v="2025-02-28T00:00:00"/>
    <x v="2"/>
    <x v="2"/>
    <x v="1"/>
    <x v="0"/>
    <x v="3"/>
    <x v="1"/>
    <x v="8"/>
    <x v="2"/>
  </r>
  <r>
    <s v="TX501515"/>
    <x v="10"/>
    <x v="0"/>
    <n v="32.700000000000003"/>
    <x v="1229"/>
    <x v="56"/>
    <d v="2025-03-05T00:00:00"/>
    <x v="2"/>
    <x v="0"/>
    <x v="2"/>
    <x v="0"/>
    <x v="3"/>
    <x v="6"/>
    <x v="8"/>
    <x v="2"/>
  </r>
  <r>
    <s v="TX501516"/>
    <x v="5"/>
    <x v="12"/>
    <n v="38.9"/>
    <x v="1230"/>
    <x v="56"/>
    <d v="2025-02-27T00:00:00"/>
    <x v="2"/>
    <x v="0"/>
    <x v="0"/>
    <x v="0"/>
    <x v="3"/>
    <x v="3"/>
    <x v="8"/>
    <x v="2"/>
  </r>
  <r>
    <s v="TX501517"/>
    <x v="9"/>
    <x v="9"/>
    <n v="35"/>
    <x v="25"/>
    <x v="56"/>
    <d v="2025-02-28T00:00:00"/>
    <x v="1"/>
    <x v="0"/>
    <x v="0"/>
    <x v="0"/>
    <x v="3"/>
    <x v="1"/>
    <x v="8"/>
    <x v="1"/>
  </r>
  <r>
    <s v="TX501518"/>
    <x v="2"/>
    <x v="1"/>
    <n v="121"/>
    <x v="1231"/>
    <x v="56"/>
    <d v="2025-02-27T00:00:00"/>
    <x v="2"/>
    <x v="1"/>
    <x v="1"/>
    <x v="0"/>
    <x v="3"/>
    <x v="3"/>
    <x v="8"/>
    <x v="2"/>
  </r>
  <r>
    <s v="TX501519"/>
    <x v="6"/>
    <x v="2"/>
    <n v="65.099999999999994"/>
    <x v="1174"/>
    <x v="56"/>
    <d v="2025-03-02T00:00:00"/>
    <x v="1"/>
    <x v="2"/>
    <x v="0"/>
    <x v="0"/>
    <x v="36"/>
    <x v="5"/>
    <x v="8"/>
    <x v="1"/>
  </r>
  <r>
    <s v="TX501520"/>
    <x v="1"/>
    <x v="38"/>
    <n v="63.8"/>
    <x v="1232"/>
    <x v="56"/>
    <d v="2025-02-28T00:00:00"/>
    <x v="2"/>
    <x v="0"/>
    <x v="0"/>
    <x v="0"/>
    <x v="8"/>
    <x v="1"/>
    <x v="8"/>
    <x v="2"/>
  </r>
  <r>
    <s v="TX501521"/>
    <x v="7"/>
    <x v="0"/>
    <n v="77.7"/>
    <x v="1233"/>
    <x v="56"/>
    <d v="2025-02-28T00:00:00"/>
    <x v="1"/>
    <x v="0"/>
    <x v="0"/>
    <x v="0"/>
    <x v="8"/>
    <x v="1"/>
    <x v="8"/>
    <x v="1"/>
  </r>
  <r>
    <s v="TX501522"/>
    <x v="5"/>
    <x v="12"/>
    <n v="60.3"/>
    <x v="1234"/>
    <x v="56"/>
    <d v="2025-02-26T00:00:00"/>
    <x v="1"/>
    <x v="0"/>
    <x v="2"/>
    <x v="0"/>
    <x v="8"/>
    <x v="7"/>
    <x v="8"/>
    <x v="1"/>
  </r>
  <r>
    <s v="TX501523"/>
    <x v="5"/>
    <x v="1"/>
    <n v="124.1"/>
    <x v="1235"/>
    <x v="56"/>
    <d v="2025-03-01T00:00:00"/>
    <x v="2"/>
    <x v="0"/>
    <x v="2"/>
    <x v="0"/>
    <x v="8"/>
    <x v="2"/>
    <x v="8"/>
    <x v="2"/>
  </r>
  <r>
    <s v="TX501524"/>
    <x v="16"/>
    <x v="3"/>
    <n v="66"/>
    <x v="1236"/>
    <x v="56"/>
    <d v="2025-02-26T00:00:00"/>
    <x v="0"/>
    <x v="3"/>
    <x v="0"/>
    <x v="0"/>
    <x v="17"/>
    <x v="7"/>
    <x v="8"/>
    <x v="0"/>
  </r>
  <r>
    <s v="TX501525"/>
    <x v="2"/>
    <x v="42"/>
    <n v="118.2"/>
    <x v="1237"/>
    <x v="56"/>
    <d v="2025-03-03T00:00:00"/>
    <x v="0"/>
    <x v="0"/>
    <x v="0"/>
    <x v="0"/>
    <x v="17"/>
    <x v="0"/>
    <x v="8"/>
    <x v="0"/>
  </r>
  <r>
    <s v="TX501526"/>
    <x v="5"/>
    <x v="9"/>
    <n v="64.3"/>
    <x v="1238"/>
    <x v="56"/>
    <d v="2025-02-27T00:00:00"/>
    <x v="1"/>
    <x v="4"/>
    <x v="4"/>
    <x v="0"/>
    <x v="26"/>
    <x v="3"/>
    <x v="8"/>
    <x v="1"/>
  </r>
  <r>
    <s v="TX501527"/>
    <x v="1"/>
    <x v="1"/>
    <n v="54.8"/>
    <x v="1239"/>
    <x v="56"/>
    <d v="2025-02-26T00:00:00"/>
    <x v="1"/>
    <x v="0"/>
    <x v="1"/>
    <x v="0"/>
    <x v="26"/>
    <x v="7"/>
    <x v="8"/>
    <x v="1"/>
  </r>
  <r>
    <s v="TX501528"/>
    <x v="7"/>
    <x v="1"/>
    <n v="78.599999999999994"/>
    <x v="507"/>
    <x v="56"/>
    <d v="2025-02-27T00:00:00"/>
    <x v="1"/>
    <x v="0"/>
    <x v="2"/>
    <x v="0"/>
    <x v="9"/>
    <x v="3"/>
    <x v="8"/>
    <x v="1"/>
  </r>
  <r>
    <s v="TX501529"/>
    <x v="2"/>
    <x v="9"/>
    <n v="158.5"/>
    <x v="1240"/>
    <x v="56"/>
    <d v="2025-02-28T00:00:00"/>
    <x v="0"/>
    <x v="2"/>
    <x v="2"/>
    <x v="0"/>
    <x v="9"/>
    <x v="1"/>
    <x v="8"/>
    <x v="0"/>
  </r>
  <r>
    <s v="TX501530"/>
    <x v="4"/>
    <x v="7"/>
    <n v="23.5"/>
    <x v="666"/>
    <x v="56"/>
    <d v="2025-03-01T00:00:00"/>
    <x v="1"/>
    <x v="0"/>
    <x v="4"/>
    <x v="0"/>
    <x v="10"/>
    <x v="2"/>
    <x v="8"/>
    <x v="1"/>
  </r>
  <r>
    <s v="TX501531"/>
    <x v="5"/>
    <x v="1"/>
    <n v="32.1"/>
    <x v="1005"/>
    <x v="56"/>
    <d v="2025-02-28T00:00:00"/>
    <x v="0"/>
    <x v="3"/>
    <x v="0"/>
    <x v="0"/>
    <x v="10"/>
    <x v="1"/>
    <x v="8"/>
    <x v="0"/>
  </r>
  <r>
    <s v="TX501532"/>
    <x v="17"/>
    <x v="12"/>
    <n v="71.900000000000006"/>
    <x v="1241"/>
    <x v="56"/>
    <d v="2025-02-26T00:00:00"/>
    <x v="1"/>
    <x v="2"/>
    <x v="0"/>
    <x v="0"/>
    <x v="19"/>
    <x v="7"/>
    <x v="8"/>
    <x v="1"/>
  </r>
  <r>
    <s v="TX501533"/>
    <x v="4"/>
    <x v="13"/>
    <n v="22.3"/>
    <x v="981"/>
    <x v="56"/>
    <d v="2025-02-27T00:00:00"/>
    <x v="0"/>
    <x v="3"/>
    <x v="2"/>
    <x v="0"/>
    <x v="13"/>
    <x v="3"/>
    <x v="8"/>
    <x v="0"/>
  </r>
  <r>
    <s v="TX501534"/>
    <x v="11"/>
    <x v="1"/>
    <n v="29.5"/>
    <x v="1242"/>
    <x v="56"/>
    <d v="2025-02-27T00:00:00"/>
    <x v="2"/>
    <x v="0"/>
    <x v="2"/>
    <x v="0"/>
    <x v="13"/>
    <x v="3"/>
    <x v="8"/>
    <x v="2"/>
  </r>
  <r>
    <s v="TX501535"/>
    <x v="6"/>
    <x v="12"/>
    <n v="41.9"/>
    <x v="1243"/>
    <x v="56"/>
    <d v="2025-03-02T00:00:00"/>
    <x v="2"/>
    <x v="0"/>
    <x v="1"/>
    <x v="0"/>
    <x v="21"/>
    <x v="5"/>
    <x v="8"/>
    <x v="2"/>
  </r>
  <r>
    <s v="TX501536"/>
    <x v="6"/>
    <x v="2"/>
    <n v="107.8"/>
    <x v="1244"/>
    <x v="56"/>
    <d v="2025-02-27T00:00:00"/>
    <x v="1"/>
    <x v="1"/>
    <x v="2"/>
    <x v="0"/>
    <x v="46"/>
    <x v="3"/>
    <x v="8"/>
    <x v="1"/>
  </r>
  <r>
    <s v="TX501537"/>
    <x v="4"/>
    <x v="9"/>
    <n v="18.100000000000001"/>
    <x v="497"/>
    <x v="56"/>
    <d v="2025-03-01T00:00:00"/>
    <x v="1"/>
    <x v="0"/>
    <x v="2"/>
    <x v="0"/>
    <x v="2"/>
    <x v="2"/>
    <x v="8"/>
    <x v="1"/>
  </r>
  <r>
    <s v="TX501538"/>
    <x v="12"/>
    <x v="11"/>
    <n v="79.8"/>
    <x v="1245"/>
    <x v="56"/>
    <d v="2025-02-27T00:00:00"/>
    <x v="2"/>
    <x v="1"/>
    <x v="1"/>
    <x v="0"/>
    <x v="22"/>
    <x v="3"/>
    <x v="8"/>
    <x v="2"/>
  </r>
  <r>
    <s v="TX501539"/>
    <x v="0"/>
    <x v="2"/>
    <n v="22.3"/>
    <x v="884"/>
    <x v="56"/>
    <d v="2025-03-01T00:00:00"/>
    <x v="2"/>
    <x v="0"/>
    <x v="2"/>
    <x v="0"/>
    <x v="22"/>
    <x v="2"/>
    <x v="8"/>
    <x v="2"/>
  </r>
  <r>
    <s v="TX501540"/>
    <x v="8"/>
    <x v="0"/>
    <n v="22.9"/>
    <x v="1246"/>
    <x v="56"/>
    <d v="2025-02-26T00:00:00"/>
    <x v="2"/>
    <x v="1"/>
    <x v="0"/>
    <x v="0"/>
    <x v="22"/>
    <x v="7"/>
    <x v="8"/>
    <x v="2"/>
  </r>
  <r>
    <s v="TX501541"/>
    <x v="0"/>
    <x v="2"/>
    <n v="16.2"/>
    <x v="1247"/>
    <x v="57"/>
    <d v="2025-02-27T00:00:00"/>
    <x v="1"/>
    <x v="4"/>
    <x v="2"/>
    <x v="0"/>
    <x v="3"/>
    <x v="7"/>
    <x v="8"/>
    <x v="1"/>
  </r>
  <r>
    <s v="TX501542"/>
    <x v="10"/>
    <x v="12"/>
    <n v="59.5"/>
    <x v="1248"/>
    <x v="57"/>
    <d v="2025-02-28T00:00:00"/>
    <x v="1"/>
    <x v="1"/>
    <x v="2"/>
    <x v="0"/>
    <x v="3"/>
    <x v="3"/>
    <x v="8"/>
    <x v="1"/>
  </r>
  <r>
    <s v="TX501543"/>
    <x v="18"/>
    <x v="9"/>
    <n v="26.2"/>
    <x v="1249"/>
    <x v="57"/>
    <d v="2025-03-02T00:00:00"/>
    <x v="1"/>
    <x v="3"/>
    <x v="4"/>
    <x v="0"/>
    <x v="3"/>
    <x v="2"/>
    <x v="8"/>
    <x v="1"/>
  </r>
  <r>
    <s v="TX501544"/>
    <x v="3"/>
    <x v="0"/>
    <n v="44.2"/>
    <x v="573"/>
    <x v="57"/>
    <d v="2025-03-02T00:00:00"/>
    <x v="2"/>
    <x v="1"/>
    <x v="0"/>
    <x v="0"/>
    <x v="3"/>
    <x v="2"/>
    <x v="8"/>
    <x v="2"/>
  </r>
  <r>
    <s v="TX501545"/>
    <x v="9"/>
    <x v="1"/>
    <n v="59.2"/>
    <x v="1250"/>
    <x v="57"/>
    <d v="2025-02-27T00:00:00"/>
    <x v="2"/>
    <x v="1"/>
    <x v="4"/>
    <x v="0"/>
    <x v="3"/>
    <x v="7"/>
    <x v="8"/>
    <x v="2"/>
  </r>
  <r>
    <s v="TX501546"/>
    <x v="15"/>
    <x v="12"/>
    <n v="41.5"/>
    <x v="1251"/>
    <x v="57"/>
    <d v="2025-03-01T00:00:00"/>
    <x v="2"/>
    <x v="0"/>
    <x v="0"/>
    <x v="0"/>
    <x v="16"/>
    <x v="1"/>
    <x v="8"/>
    <x v="2"/>
  </r>
  <r>
    <s v="TX501547"/>
    <x v="6"/>
    <x v="4"/>
    <n v="67.099999999999994"/>
    <x v="1252"/>
    <x v="57"/>
    <d v="2025-03-13T00:00:00"/>
    <x v="2"/>
    <x v="0"/>
    <x v="2"/>
    <x v="0"/>
    <x v="23"/>
    <x v="12"/>
    <x v="8"/>
    <x v="2"/>
  </r>
  <r>
    <s v="TX501548"/>
    <x v="8"/>
    <x v="1"/>
    <n v="28.7"/>
    <x v="1253"/>
    <x v="57"/>
    <d v="2025-03-03T00:00:00"/>
    <x v="2"/>
    <x v="1"/>
    <x v="0"/>
    <x v="0"/>
    <x v="6"/>
    <x v="5"/>
    <x v="8"/>
    <x v="2"/>
  </r>
  <r>
    <s v="TX501549"/>
    <x v="2"/>
    <x v="12"/>
    <n v="132.1"/>
    <x v="1254"/>
    <x v="57"/>
    <d v="2025-02-28T00:00:00"/>
    <x v="2"/>
    <x v="0"/>
    <x v="1"/>
    <x v="0"/>
    <x v="6"/>
    <x v="3"/>
    <x v="8"/>
    <x v="2"/>
  </r>
  <r>
    <s v="TX501550"/>
    <x v="18"/>
    <x v="1"/>
    <n v="47"/>
    <x v="255"/>
    <x v="57"/>
    <d v="2025-03-01T00:00:00"/>
    <x v="1"/>
    <x v="4"/>
    <x v="0"/>
    <x v="0"/>
    <x v="8"/>
    <x v="1"/>
    <x v="8"/>
    <x v="1"/>
  </r>
  <r>
    <s v="TX501551"/>
    <x v="8"/>
    <x v="1"/>
    <n v="41.6"/>
    <x v="707"/>
    <x v="57"/>
    <d v="2025-03-03T00:00:00"/>
    <x v="1"/>
    <x v="1"/>
    <x v="2"/>
    <x v="0"/>
    <x v="8"/>
    <x v="5"/>
    <x v="8"/>
    <x v="1"/>
  </r>
  <r>
    <s v="TX501552"/>
    <x v="8"/>
    <x v="43"/>
    <n v="17.3"/>
    <x v="1255"/>
    <x v="57"/>
    <d v="2025-03-01T00:00:00"/>
    <x v="1"/>
    <x v="2"/>
    <x v="2"/>
    <x v="0"/>
    <x v="8"/>
    <x v="1"/>
    <x v="8"/>
    <x v="1"/>
  </r>
  <r>
    <s v="TX501553"/>
    <x v="13"/>
    <x v="2"/>
    <n v="41.8"/>
    <x v="352"/>
    <x v="57"/>
    <d v="2025-03-02T00:00:00"/>
    <x v="1"/>
    <x v="0"/>
    <x v="2"/>
    <x v="0"/>
    <x v="8"/>
    <x v="2"/>
    <x v="8"/>
    <x v="1"/>
  </r>
  <r>
    <s v="TX501554"/>
    <x v="10"/>
    <x v="0"/>
    <n v="24"/>
    <x v="835"/>
    <x v="57"/>
    <d v="2025-02-28T00:00:00"/>
    <x v="2"/>
    <x v="0"/>
    <x v="0"/>
    <x v="0"/>
    <x v="17"/>
    <x v="3"/>
    <x v="8"/>
    <x v="2"/>
  </r>
  <r>
    <s v="TX501555"/>
    <x v="14"/>
    <x v="11"/>
    <n v="18.5"/>
    <x v="1256"/>
    <x v="57"/>
    <d v="2025-03-01T00:00:00"/>
    <x v="2"/>
    <x v="0"/>
    <x v="0"/>
    <x v="0"/>
    <x v="9"/>
    <x v="1"/>
    <x v="8"/>
    <x v="2"/>
  </r>
  <r>
    <s v="TX501556"/>
    <x v="3"/>
    <x v="4"/>
    <n v="66.7"/>
    <x v="1257"/>
    <x v="57"/>
    <d v="2025-03-02T00:00:00"/>
    <x v="0"/>
    <x v="0"/>
    <x v="2"/>
    <x v="0"/>
    <x v="11"/>
    <x v="2"/>
    <x v="8"/>
    <x v="0"/>
  </r>
  <r>
    <s v="TX501557"/>
    <x v="1"/>
    <x v="12"/>
    <n v="33.1"/>
    <x v="979"/>
    <x v="57"/>
    <d v="2025-03-04T00:00:00"/>
    <x v="1"/>
    <x v="3"/>
    <x v="0"/>
    <x v="0"/>
    <x v="11"/>
    <x v="0"/>
    <x v="8"/>
    <x v="1"/>
  </r>
  <r>
    <s v="TX501558"/>
    <x v="19"/>
    <x v="11"/>
    <n v="42.1"/>
    <x v="1258"/>
    <x v="57"/>
    <d v="2025-03-10T00:00:00"/>
    <x v="1"/>
    <x v="1"/>
    <x v="0"/>
    <x v="0"/>
    <x v="18"/>
    <x v="11"/>
    <x v="8"/>
    <x v="1"/>
  </r>
  <r>
    <s v="TX501559"/>
    <x v="18"/>
    <x v="3"/>
    <n v="58.7"/>
    <x v="1259"/>
    <x v="57"/>
    <d v="2025-02-27T00:00:00"/>
    <x v="3"/>
    <x v="3"/>
    <x v="0"/>
    <x v="0"/>
    <x v="31"/>
    <x v="7"/>
    <x v="8"/>
    <x v="3"/>
  </r>
  <r>
    <s v="TX501560"/>
    <x v="6"/>
    <x v="12"/>
    <n v="54"/>
    <x v="760"/>
    <x v="57"/>
    <d v="2025-03-01T00:00:00"/>
    <x v="2"/>
    <x v="1"/>
    <x v="0"/>
    <x v="0"/>
    <x v="1"/>
    <x v="1"/>
    <x v="8"/>
    <x v="2"/>
  </r>
  <r>
    <s v="TX501561"/>
    <x v="8"/>
    <x v="0"/>
    <n v="52.1"/>
    <x v="475"/>
    <x v="57"/>
    <d v="2025-02-28T00:00:00"/>
    <x v="2"/>
    <x v="2"/>
    <x v="2"/>
    <x v="0"/>
    <x v="2"/>
    <x v="3"/>
    <x v="8"/>
    <x v="2"/>
  </r>
  <r>
    <s v="TX501562"/>
    <x v="19"/>
    <x v="1"/>
    <n v="27"/>
    <x v="1260"/>
    <x v="57"/>
    <d v="2025-03-02T00:00:00"/>
    <x v="3"/>
    <x v="2"/>
    <x v="0"/>
    <x v="0"/>
    <x v="22"/>
    <x v="2"/>
    <x v="8"/>
    <x v="3"/>
  </r>
  <r>
    <s v="TX501563"/>
    <x v="12"/>
    <x v="7"/>
    <n v="31"/>
    <x v="892"/>
    <x v="58"/>
    <d v="2025-03-01T00:00:00"/>
    <x v="2"/>
    <x v="3"/>
    <x v="2"/>
    <x v="0"/>
    <x v="22"/>
    <x v="3"/>
    <x v="8"/>
    <x v="2"/>
  </r>
  <r>
    <s v="TX501564"/>
    <x v="10"/>
    <x v="1"/>
    <n v="46.7"/>
    <x v="1261"/>
    <x v="58"/>
    <d v="2025-02-28T00:00:00"/>
    <x v="2"/>
    <x v="0"/>
    <x v="0"/>
    <x v="0"/>
    <x v="34"/>
    <x v="7"/>
    <x v="8"/>
    <x v="2"/>
  </r>
  <r>
    <s v="TX501565"/>
    <x v="6"/>
    <x v="0"/>
    <n v="144.69999999999999"/>
    <x v="1262"/>
    <x v="58"/>
    <d v="2025-03-03T00:00:00"/>
    <x v="1"/>
    <x v="0"/>
    <x v="2"/>
    <x v="0"/>
    <x v="3"/>
    <x v="2"/>
    <x v="8"/>
    <x v="1"/>
  </r>
  <r>
    <s v="TX501566"/>
    <x v="2"/>
    <x v="11"/>
    <n v="90.9"/>
    <x v="1263"/>
    <x v="58"/>
    <d v="2025-03-01T00:00:00"/>
    <x v="1"/>
    <x v="0"/>
    <x v="2"/>
    <x v="0"/>
    <x v="3"/>
    <x v="3"/>
    <x v="8"/>
    <x v="1"/>
  </r>
  <r>
    <s v="TX501567"/>
    <x v="1"/>
    <x v="1"/>
    <n v="75.8"/>
    <x v="318"/>
    <x v="58"/>
    <d v="2025-03-01T00:00:00"/>
    <x v="2"/>
    <x v="2"/>
    <x v="1"/>
    <x v="0"/>
    <x v="3"/>
    <x v="3"/>
    <x v="8"/>
    <x v="2"/>
  </r>
  <r>
    <s v="TX501568"/>
    <x v="7"/>
    <x v="9"/>
    <n v="57.9"/>
    <x v="1264"/>
    <x v="58"/>
    <d v="2025-03-02T00:00:00"/>
    <x v="1"/>
    <x v="2"/>
    <x v="2"/>
    <x v="0"/>
    <x v="3"/>
    <x v="1"/>
    <x v="8"/>
    <x v="1"/>
  </r>
  <r>
    <s v="TX501569"/>
    <x v="8"/>
    <x v="9"/>
    <n v="44.8"/>
    <x v="692"/>
    <x v="58"/>
    <d v="2025-03-01T00:00:00"/>
    <x v="2"/>
    <x v="3"/>
    <x v="2"/>
    <x v="0"/>
    <x v="3"/>
    <x v="3"/>
    <x v="8"/>
    <x v="2"/>
  </r>
  <r>
    <s v="TX501570"/>
    <x v="9"/>
    <x v="2"/>
    <n v="44.2"/>
    <x v="1265"/>
    <x v="58"/>
    <d v="2025-03-04T00:00:00"/>
    <x v="1"/>
    <x v="2"/>
    <x v="2"/>
    <x v="0"/>
    <x v="3"/>
    <x v="5"/>
    <x v="8"/>
    <x v="1"/>
  </r>
  <r>
    <s v="TX501571"/>
    <x v="5"/>
    <x v="9"/>
    <n v="53.5"/>
    <x v="1266"/>
    <x v="58"/>
    <d v="2025-03-02T00:00:00"/>
    <x v="1"/>
    <x v="0"/>
    <x v="0"/>
    <x v="0"/>
    <x v="37"/>
    <x v="1"/>
    <x v="8"/>
    <x v="1"/>
  </r>
  <r>
    <s v="TX501572"/>
    <x v="6"/>
    <x v="1"/>
    <n v="72.2"/>
    <x v="613"/>
    <x v="58"/>
    <d v="2025-03-01T00:00:00"/>
    <x v="1"/>
    <x v="0"/>
    <x v="2"/>
    <x v="0"/>
    <x v="25"/>
    <x v="3"/>
    <x v="8"/>
    <x v="1"/>
  </r>
  <r>
    <s v="TX501573"/>
    <x v="6"/>
    <x v="12"/>
    <n v="62.4"/>
    <x v="1267"/>
    <x v="58"/>
    <d v="2025-03-03T00:00:00"/>
    <x v="2"/>
    <x v="0"/>
    <x v="1"/>
    <x v="0"/>
    <x v="23"/>
    <x v="2"/>
    <x v="8"/>
    <x v="2"/>
  </r>
  <r>
    <s v="TX501574"/>
    <x v="10"/>
    <x v="9"/>
    <n v="24.7"/>
    <x v="1268"/>
    <x v="58"/>
    <d v="2025-03-01T00:00:00"/>
    <x v="2"/>
    <x v="0"/>
    <x v="0"/>
    <x v="0"/>
    <x v="6"/>
    <x v="3"/>
    <x v="8"/>
    <x v="2"/>
  </r>
  <r>
    <s v="TX501575"/>
    <x v="1"/>
    <x v="9"/>
    <n v="61.7"/>
    <x v="1269"/>
    <x v="58"/>
    <d v="2025-03-02T00:00:00"/>
    <x v="2"/>
    <x v="2"/>
    <x v="0"/>
    <x v="0"/>
    <x v="8"/>
    <x v="1"/>
    <x v="8"/>
    <x v="2"/>
  </r>
  <r>
    <s v="TX501576"/>
    <x v="8"/>
    <x v="9"/>
    <n v="18.2"/>
    <x v="1270"/>
    <x v="58"/>
    <d v="2025-03-02T00:00:00"/>
    <x v="2"/>
    <x v="3"/>
    <x v="0"/>
    <x v="0"/>
    <x v="8"/>
    <x v="1"/>
    <x v="8"/>
    <x v="2"/>
  </r>
  <r>
    <s v="TX501577"/>
    <x v="10"/>
    <x v="12"/>
    <n v="37.200000000000003"/>
    <x v="956"/>
    <x v="58"/>
    <d v="2025-03-06T00:00:00"/>
    <x v="2"/>
    <x v="0"/>
    <x v="0"/>
    <x v="0"/>
    <x v="8"/>
    <x v="4"/>
    <x v="8"/>
    <x v="2"/>
  </r>
  <r>
    <s v="TX501578"/>
    <x v="9"/>
    <x v="2"/>
    <n v="53.5"/>
    <x v="1271"/>
    <x v="58"/>
    <d v="2025-03-02T00:00:00"/>
    <x v="2"/>
    <x v="1"/>
    <x v="2"/>
    <x v="0"/>
    <x v="9"/>
    <x v="1"/>
    <x v="8"/>
    <x v="2"/>
  </r>
  <r>
    <s v="TX501579"/>
    <x v="8"/>
    <x v="2"/>
    <n v="43.6"/>
    <x v="1272"/>
    <x v="58"/>
    <d v="2025-02-28T00:00:00"/>
    <x v="2"/>
    <x v="0"/>
    <x v="0"/>
    <x v="0"/>
    <x v="9"/>
    <x v="7"/>
    <x v="8"/>
    <x v="2"/>
  </r>
  <r>
    <s v="TX501580"/>
    <x v="1"/>
    <x v="7"/>
    <n v="135"/>
    <x v="1273"/>
    <x v="58"/>
    <d v="2025-03-02T00:00:00"/>
    <x v="2"/>
    <x v="0"/>
    <x v="2"/>
    <x v="0"/>
    <x v="9"/>
    <x v="1"/>
    <x v="8"/>
    <x v="2"/>
  </r>
  <r>
    <s v="TX501581"/>
    <x v="8"/>
    <x v="9"/>
    <n v="38.5"/>
    <x v="796"/>
    <x v="58"/>
    <d v="2025-02-28T00:00:00"/>
    <x v="1"/>
    <x v="4"/>
    <x v="2"/>
    <x v="0"/>
    <x v="10"/>
    <x v="7"/>
    <x v="8"/>
    <x v="1"/>
  </r>
  <r>
    <s v="TX501582"/>
    <x v="9"/>
    <x v="1"/>
    <n v="24"/>
    <x v="510"/>
    <x v="58"/>
    <d v="2025-03-05T00:00:00"/>
    <x v="2"/>
    <x v="0"/>
    <x v="0"/>
    <x v="0"/>
    <x v="11"/>
    <x v="0"/>
    <x v="8"/>
    <x v="2"/>
  </r>
  <r>
    <s v="TX501583"/>
    <x v="4"/>
    <x v="2"/>
    <n v="28.2"/>
    <x v="1274"/>
    <x v="58"/>
    <d v="2025-03-02T00:00:00"/>
    <x v="1"/>
    <x v="0"/>
    <x v="3"/>
    <x v="0"/>
    <x v="18"/>
    <x v="1"/>
    <x v="8"/>
    <x v="1"/>
  </r>
  <r>
    <s v="TX501584"/>
    <x v="7"/>
    <x v="2"/>
    <n v="37.4"/>
    <x v="794"/>
    <x v="58"/>
    <d v="2025-03-01T00:00:00"/>
    <x v="2"/>
    <x v="3"/>
    <x v="0"/>
    <x v="0"/>
    <x v="1"/>
    <x v="3"/>
    <x v="8"/>
    <x v="2"/>
  </r>
  <r>
    <s v="TX501585"/>
    <x v="6"/>
    <x v="2"/>
    <n v="53.5"/>
    <x v="1271"/>
    <x v="58"/>
    <d v="2025-03-03T00:00:00"/>
    <x v="0"/>
    <x v="4"/>
    <x v="4"/>
    <x v="0"/>
    <x v="1"/>
    <x v="2"/>
    <x v="8"/>
    <x v="0"/>
  </r>
  <r>
    <s v="TX501586"/>
    <x v="11"/>
    <x v="9"/>
    <n v="36.200000000000003"/>
    <x v="1275"/>
    <x v="58"/>
    <d v="2025-03-01T00:00:00"/>
    <x v="1"/>
    <x v="1"/>
    <x v="2"/>
    <x v="0"/>
    <x v="33"/>
    <x v="3"/>
    <x v="8"/>
    <x v="1"/>
  </r>
  <r>
    <s v="TX501587"/>
    <x v="0"/>
    <x v="8"/>
    <n v="31.9"/>
    <x v="281"/>
    <x v="58"/>
    <d v="2025-03-01T00:00:00"/>
    <x v="2"/>
    <x v="4"/>
    <x v="0"/>
    <x v="0"/>
    <x v="3"/>
    <x v="3"/>
    <x v="8"/>
    <x v="2"/>
  </r>
  <r>
    <s v="TX501588"/>
    <x v="8"/>
    <x v="2"/>
    <n v="21.3"/>
    <x v="1276"/>
    <x v="58"/>
    <d v="2025-03-01T00:00:00"/>
    <x v="1"/>
    <x v="0"/>
    <x v="2"/>
    <x v="0"/>
    <x v="3"/>
    <x v="3"/>
    <x v="8"/>
    <x v="1"/>
  </r>
  <r>
    <s v="TX501589"/>
    <x v="8"/>
    <x v="0"/>
    <n v="36.299999999999997"/>
    <x v="1277"/>
    <x v="58"/>
    <d v="2025-03-02T00:00:00"/>
    <x v="3"/>
    <x v="4"/>
    <x v="0"/>
    <x v="0"/>
    <x v="3"/>
    <x v="1"/>
    <x v="8"/>
    <x v="3"/>
  </r>
  <r>
    <s v="TX501590"/>
    <x v="6"/>
    <x v="2"/>
    <n v="110.5"/>
    <x v="1278"/>
    <x v="58"/>
    <d v="2025-03-01T00:00:00"/>
    <x v="2"/>
    <x v="0"/>
    <x v="3"/>
    <x v="0"/>
    <x v="3"/>
    <x v="3"/>
    <x v="8"/>
    <x v="2"/>
  </r>
  <r>
    <s v="TX501591"/>
    <x v="10"/>
    <x v="3"/>
    <n v="32.6"/>
    <x v="1279"/>
    <x v="58"/>
    <d v="2025-03-02T00:00:00"/>
    <x v="2"/>
    <x v="0"/>
    <x v="1"/>
    <x v="0"/>
    <x v="3"/>
    <x v="1"/>
    <x v="8"/>
    <x v="2"/>
  </r>
  <r>
    <s v="TX501592"/>
    <x v="5"/>
    <x v="2"/>
    <n v="55.6"/>
    <x v="701"/>
    <x v="59"/>
    <d v="2025-03-14T00:00:00"/>
    <x v="2"/>
    <x v="0"/>
    <x v="0"/>
    <x v="0"/>
    <x v="3"/>
    <x v="10"/>
    <x v="8"/>
    <x v="2"/>
  </r>
  <r>
    <s v="TX501593"/>
    <x v="1"/>
    <x v="12"/>
    <n v="38"/>
    <x v="465"/>
    <x v="59"/>
    <d v="2025-03-02T00:00:00"/>
    <x v="2"/>
    <x v="3"/>
    <x v="2"/>
    <x v="0"/>
    <x v="5"/>
    <x v="3"/>
    <x v="8"/>
    <x v="2"/>
  </r>
  <r>
    <s v="TX501594"/>
    <x v="10"/>
    <x v="1"/>
    <n v="51.8"/>
    <x v="186"/>
    <x v="59"/>
    <d v="2025-03-07T00:00:00"/>
    <x v="1"/>
    <x v="1"/>
    <x v="4"/>
    <x v="0"/>
    <x v="6"/>
    <x v="4"/>
    <x v="8"/>
    <x v="1"/>
  </r>
  <r>
    <s v="TX501595"/>
    <x v="11"/>
    <x v="8"/>
    <n v="28.7"/>
    <x v="1166"/>
    <x v="59"/>
    <d v="2025-03-06T00:00:00"/>
    <x v="2"/>
    <x v="0"/>
    <x v="0"/>
    <x v="0"/>
    <x v="6"/>
    <x v="0"/>
    <x v="8"/>
    <x v="2"/>
  </r>
  <r>
    <s v="TX501596"/>
    <x v="6"/>
    <x v="4"/>
    <n v="52.2"/>
    <x v="1280"/>
    <x v="59"/>
    <d v="2025-03-01T00:00:00"/>
    <x v="1"/>
    <x v="0"/>
    <x v="1"/>
    <x v="0"/>
    <x v="6"/>
    <x v="7"/>
    <x v="8"/>
    <x v="1"/>
  </r>
  <r>
    <s v="TX501597"/>
    <x v="1"/>
    <x v="1"/>
    <n v="68.2"/>
    <x v="517"/>
    <x v="59"/>
    <d v="2025-03-02T00:00:00"/>
    <x v="0"/>
    <x v="2"/>
    <x v="0"/>
    <x v="0"/>
    <x v="7"/>
    <x v="3"/>
    <x v="8"/>
    <x v="0"/>
  </r>
  <r>
    <s v="TX501598"/>
    <x v="0"/>
    <x v="2"/>
    <n v="34"/>
    <x v="1062"/>
    <x v="59"/>
    <d v="2025-03-05T00:00:00"/>
    <x v="2"/>
    <x v="0"/>
    <x v="0"/>
    <x v="0"/>
    <x v="8"/>
    <x v="5"/>
    <x v="8"/>
    <x v="2"/>
  </r>
  <r>
    <s v="TX501599"/>
    <x v="8"/>
    <x v="2"/>
    <n v="19.100000000000001"/>
    <x v="1281"/>
    <x v="59"/>
    <d v="2025-03-02T00:00:00"/>
    <x v="2"/>
    <x v="4"/>
    <x v="0"/>
    <x v="0"/>
    <x v="8"/>
    <x v="3"/>
    <x v="8"/>
    <x v="2"/>
  </r>
  <r>
    <s v="TX501600"/>
    <x v="5"/>
    <x v="8"/>
    <n v="34"/>
    <x v="1123"/>
    <x v="59"/>
    <d v="2025-03-09T00:00:00"/>
    <x v="2"/>
    <x v="4"/>
    <x v="0"/>
    <x v="0"/>
    <x v="8"/>
    <x v="9"/>
    <x v="8"/>
    <x v="2"/>
  </r>
  <r>
    <s v="TX501601"/>
    <x v="12"/>
    <x v="1"/>
    <n v="109.1"/>
    <x v="1282"/>
    <x v="59"/>
    <d v="2025-03-03T00:00:00"/>
    <x v="1"/>
    <x v="0"/>
    <x v="2"/>
    <x v="0"/>
    <x v="8"/>
    <x v="1"/>
    <x v="8"/>
    <x v="1"/>
  </r>
  <r>
    <s v="TX501602"/>
    <x v="18"/>
    <x v="1"/>
    <n v="64.8"/>
    <x v="632"/>
    <x v="59"/>
    <d v="2025-03-03T00:00:00"/>
    <x v="1"/>
    <x v="0"/>
    <x v="2"/>
    <x v="0"/>
    <x v="8"/>
    <x v="1"/>
    <x v="8"/>
    <x v="1"/>
  </r>
  <r>
    <s v="TX501603"/>
    <x v="10"/>
    <x v="1"/>
    <n v="21.1"/>
    <x v="1283"/>
    <x v="59"/>
    <d v="2025-03-01T00:00:00"/>
    <x v="2"/>
    <x v="1"/>
    <x v="0"/>
    <x v="0"/>
    <x v="11"/>
    <x v="7"/>
    <x v="8"/>
    <x v="2"/>
  </r>
  <r>
    <s v="TX501604"/>
    <x v="0"/>
    <x v="8"/>
    <n v="21.3"/>
    <x v="1284"/>
    <x v="59"/>
    <d v="2025-03-03T00:00:00"/>
    <x v="1"/>
    <x v="3"/>
    <x v="1"/>
    <x v="0"/>
    <x v="18"/>
    <x v="1"/>
    <x v="8"/>
    <x v="1"/>
  </r>
  <r>
    <s v="TX501605"/>
    <x v="9"/>
    <x v="2"/>
    <n v="24.3"/>
    <x v="1285"/>
    <x v="59"/>
    <d v="2025-03-02T00:00:00"/>
    <x v="1"/>
    <x v="1"/>
    <x v="0"/>
    <x v="0"/>
    <x v="19"/>
    <x v="3"/>
    <x v="8"/>
    <x v="1"/>
  </r>
  <r>
    <s v="TX501606"/>
    <x v="8"/>
    <x v="0"/>
    <n v="43.3"/>
    <x v="1286"/>
    <x v="59"/>
    <d v="2025-03-05T00:00:00"/>
    <x v="1"/>
    <x v="1"/>
    <x v="1"/>
    <x v="0"/>
    <x v="13"/>
    <x v="5"/>
    <x v="8"/>
    <x v="1"/>
  </r>
  <r>
    <s v="TX501607"/>
    <x v="9"/>
    <x v="2"/>
    <n v="41"/>
    <x v="1287"/>
    <x v="59"/>
    <d v="2025-03-02T00:00:00"/>
    <x v="2"/>
    <x v="3"/>
    <x v="4"/>
    <x v="0"/>
    <x v="21"/>
    <x v="3"/>
    <x v="8"/>
    <x v="2"/>
  </r>
  <r>
    <s v="TX501608"/>
    <x v="16"/>
    <x v="2"/>
    <n v="54.1"/>
    <x v="1288"/>
    <x v="59"/>
    <d v="2025-03-03T00:00:00"/>
    <x v="2"/>
    <x v="4"/>
    <x v="0"/>
    <x v="0"/>
    <x v="21"/>
    <x v="1"/>
    <x v="8"/>
    <x v="2"/>
  </r>
  <r>
    <s v="TX501609"/>
    <x v="11"/>
    <x v="1"/>
    <n v="39"/>
    <x v="292"/>
    <x v="59"/>
    <d v="2025-03-02T00:00:00"/>
    <x v="1"/>
    <x v="1"/>
    <x v="2"/>
    <x v="0"/>
    <x v="1"/>
    <x v="3"/>
    <x v="8"/>
    <x v="1"/>
  </r>
  <r>
    <s v="TX501610"/>
    <x v="8"/>
    <x v="1"/>
    <n v="40.299999999999997"/>
    <x v="7"/>
    <x v="59"/>
    <d v="2025-03-03T00:00:00"/>
    <x v="1"/>
    <x v="3"/>
    <x v="0"/>
    <x v="0"/>
    <x v="27"/>
    <x v="1"/>
    <x v="8"/>
    <x v="1"/>
  </r>
  <r>
    <s v="TX501611"/>
    <x v="8"/>
    <x v="2"/>
    <n v="24.1"/>
    <x v="1289"/>
    <x v="59"/>
    <d v="2025-03-02T00:00:00"/>
    <x v="1"/>
    <x v="0"/>
    <x v="2"/>
    <x v="0"/>
    <x v="34"/>
    <x v="3"/>
    <x v="8"/>
    <x v="1"/>
  </r>
  <r>
    <s v="TX501612"/>
    <x v="6"/>
    <x v="9"/>
    <n v="52.3"/>
    <x v="1290"/>
    <x v="59"/>
    <d v="2025-03-02T00:00:00"/>
    <x v="1"/>
    <x v="2"/>
    <x v="0"/>
    <x v="0"/>
    <x v="3"/>
    <x v="3"/>
    <x v="8"/>
    <x v="1"/>
  </r>
  <r>
    <s v="TX501613"/>
    <x v="12"/>
    <x v="12"/>
    <n v="68.8"/>
    <x v="1291"/>
    <x v="59"/>
    <d v="2025-03-05T00:00:00"/>
    <x v="2"/>
    <x v="4"/>
    <x v="2"/>
    <x v="0"/>
    <x v="3"/>
    <x v="5"/>
    <x v="8"/>
    <x v="2"/>
  </r>
  <r>
    <s v="TX501614"/>
    <x v="2"/>
    <x v="1"/>
    <n v="128.80000000000001"/>
    <x v="1292"/>
    <x v="60"/>
    <d v="2025-03-05T00:00:00"/>
    <x v="2"/>
    <x v="1"/>
    <x v="1"/>
    <x v="0"/>
    <x v="3"/>
    <x v="2"/>
    <x v="9"/>
    <x v="2"/>
  </r>
  <r>
    <s v="TX501615"/>
    <x v="15"/>
    <x v="9"/>
    <n v="48.2"/>
    <x v="1044"/>
    <x v="60"/>
    <d v="2025-03-04T00:00:00"/>
    <x v="2"/>
    <x v="3"/>
    <x v="0"/>
    <x v="0"/>
    <x v="3"/>
    <x v="1"/>
    <x v="9"/>
    <x v="2"/>
  </r>
  <r>
    <s v="TX501616"/>
    <x v="10"/>
    <x v="0"/>
    <n v="39.700000000000003"/>
    <x v="144"/>
    <x v="60"/>
    <d v="2025-03-04T00:00:00"/>
    <x v="2"/>
    <x v="0"/>
    <x v="1"/>
    <x v="0"/>
    <x v="3"/>
    <x v="1"/>
    <x v="9"/>
    <x v="2"/>
  </r>
  <r>
    <s v="TX501617"/>
    <x v="9"/>
    <x v="0"/>
    <n v="59.7"/>
    <x v="1201"/>
    <x v="60"/>
    <d v="2025-03-05T00:00:00"/>
    <x v="2"/>
    <x v="4"/>
    <x v="0"/>
    <x v="0"/>
    <x v="3"/>
    <x v="2"/>
    <x v="9"/>
    <x v="2"/>
  </r>
  <r>
    <s v="TX501618"/>
    <x v="6"/>
    <x v="0"/>
    <n v="48.3"/>
    <x v="1293"/>
    <x v="60"/>
    <d v="2025-03-16T00:00:00"/>
    <x v="3"/>
    <x v="0"/>
    <x v="2"/>
    <x v="0"/>
    <x v="3"/>
    <x v="12"/>
    <x v="9"/>
    <x v="3"/>
  </r>
  <r>
    <s v="TX501619"/>
    <x v="8"/>
    <x v="2"/>
    <n v="45.5"/>
    <x v="1294"/>
    <x v="60"/>
    <d v="2025-03-04T00:00:00"/>
    <x v="1"/>
    <x v="2"/>
    <x v="1"/>
    <x v="0"/>
    <x v="3"/>
    <x v="1"/>
    <x v="9"/>
    <x v="1"/>
  </r>
  <r>
    <s v="TX501620"/>
    <x v="9"/>
    <x v="6"/>
    <n v="51"/>
    <x v="1295"/>
    <x v="60"/>
    <d v="2025-03-02T00:00:00"/>
    <x v="2"/>
    <x v="2"/>
    <x v="0"/>
    <x v="0"/>
    <x v="3"/>
    <x v="7"/>
    <x v="9"/>
    <x v="2"/>
  </r>
  <r>
    <s v="TX501621"/>
    <x v="4"/>
    <x v="13"/>
    <n v="20.399999999999999"/>
    <x v="1296"/>
    <x v="60"/>
    <d v="2025-03-03T00:00:00"/>
    <x v="1"/>
    <x v="2"/>
    <x v="0"/>
    <x v="0"/>
    <x v="3"/>
    <x v="3"/>
    <x v="9"/>
    <x v="1"/>
  </r>
  <r>
    <s v="TX501622"/>
    <x v="10"/>
    <x v="1"/>
    <n v="30.4"/>
    <x v="1297"/>
    <x v="60"/>
    <d v="2025-03-04T00:00:00"/>
    <x v="1"/>
    <x v="2"/>
    <x v="0"/>
    <x v="0"/>
    <x v="3"/>
    <x v="1"/>
    <x v="9"/>
    <x v="1"/>
  </r>
  <r>
    <s v="TX501623"/>
    <x v="7"/>
    <x v="1"/>
    <n v="71.5"/>
    <x v="1298"/>
    <x v="60"/>
    <d v="2025-03-06T00:00:00"/>
    <x v="2"/>
    <x v="0"/>
    <x v="0"/>
    <x v="0"/>
    <x v="3"/>
    <x v="5"/>
    <x v="9"/>
    <x v="2"/>
  </r>
  <r>
    <s v="TX501624"/>
    <x v="8"/>
    <x v="13"/>
    <n v="18"/>
    <x v="807"/>
    <x v="60"/>
    <d v="2025-03-03T00:00:00"/>
    <x v="3"/>
    <x v="1"/>
    <x v="2"/>
    <x v="0"/>
    <x v="6"/>
    <x v="3"/>
    <x v="9"/>
    <x v="3"/>
  </r>
  <r>
    <s v="TX501625"/>
    <x v="15"/>
    <x v="5"/>
    <n v="45.6"/>
    <x v="1299"/>
    <x v="60"/>
    <d v="2025-03-03T00:00:00"/>
    <x v="3"/>
    <x v="1"/>
    <x v="1"/>
    <x v="0"/>
    <x v="7"/>
    <x v="3"/>
    <x v="9"/>
    <x v="3"/>
  </r>
  <r>
    <s v="TX501626"/>
    <x v="9"/>
    <x v="0"/>
    <n v="31.8"/>
    <x v="627"/>
    <x v="60"/>
    <d v="2025-03-06T00:00:00"/>
    <x v="2"/>
    <x v="0"/>
    <x v="2"/>
    <x v="0"/>
    <x v="7"/>
    <x v="5"/>
    <x v="9"/>
    <x v="2"/>
  </r>
  <r>
    <s v="TX501627"/>
    <x v="8"/>
    <x v="9"/>
    <n v="19.899999999999999"/>
    <x v="1300"/>
    <x v="60"/>
    <d v="2025-03-03T00:00:00"/>
    <x v="2"/>
    <x v="1"/>
    <x v="0"/>
    <x v="0"/>
    <x v="7"/>
    <x v="3"/>
    <x v="9"/>
    <x v="2"/>
  </r>
  <r>
    <s v="TX501628"/>
    <x v="12"/>
    <x v="11"/>
    <n v="52.1"/>
    <x v="1301"/>
    <x v="60"/>
    <d v="2025-03-04T00:00:00"/>
    <x v="1"/>
    <x v="0"/>
    <x v="0"/>
    <x v="0"/>
    <x v="8"/>
    <x v="1"/>
    <x v="9"/>
    <x v="1"/>
  </r>
  <r>
    <s v="TX501629"/>
    <x v="1"/>
    <x v="3"/>
    <n v="45.9"/>
    <x v="1198"/>
    <x v="60"/>
    <d v="2025-03-03T00:00:00"/>
    <x v="1"/>
    <x v="0"/>
    <x v="1"/>
    <x v="0"/>
    <x v="8"/>
    <x v="3"/>
    <x v="9"/>
    <x v="1"/>
  </r>
  <r>
    <s v="TX501630"/>
    <x v="1"/>
    <x v="7"/>
    <n v="115.9"/>
    <x v="1302"/>
    <x v="60"/>
    <d v="2025-03-05T00:00:00"/>
    <x v="2"/>
    <x v="1"/>
    <x v="0"/>
    <x v="0"/>
    <x v="8"/>
    <x v="2"/>
    <x v="9"/>
    <x v="2"/>
  </r>
  <r>
    <s v="TX501631"/>
    <x v="6"/>
    <x v="11"/>
    <n v="86"/>
    <x v="1303"/>
    <x v="60"/>
    <d v="2025-03-07T00:00:00"/>
    <x v="2"/>
    <x v="0"/>
    <x v="1"/>
    <x v="0"/>
    <x v="8"/>
    <x v="0"/>
    <x v="9"/>
    <x v="2"/>
  </r>
  <r>
    <s v="TX501632"/>
    <x v="7"/>
    <x v="3"/>
    <n v="73.599999999999994"/>
    <x v="1304"/>
    <x v="60"/>
    <d v="2025-03-04T00:00:00"/>
    <x v="2"/>
    <x v="0"/>
    <x v="0"/>
    <x v="0"/>
    <x v="17"/>
    <x v="1"/>
    <x v="9"/>
    <x v="2"/>
  </r>
  <r>
    <s v="TX501633"/>
    <x v="10"/>
    <x v="2"/>
    <n v="26.7"/>
    <x v="1133"/>
    <x v="60"/>
    <d v="2025-03-06T00:00:00"/>
    <x v="2"/>
    <x v="0"/>
    <x v="0"/>
    <x v="0"/>
    <x v="11"/>
    <x v="5"/>
    <x v="9"/>
    <x v="2"/>
  </r>
  <r>
    <s v="TX501634"/>
    <x v="8"/>
    <x v="3"/>
    <n v="46.6"/>
    <x v="1305"/>
    <x v="60"/>
    <d v="2025-03-04T00:00:00"/>
    <x v="0"/>
    <x v="3"/>
    <x v="0"/>
    <x v="0"/>
    <x v="11"/>
    <x v="1"/>
    <x v="9"/>
    <x v="0"/>
  </r>
  <r>
    <s v="TX501635"/>
    <x v="3"/>
    <x v="2"/>
    <n v="84.6"/>
    <x v="1306"/>
    <x v="60"/>
    <d v="2025-03-04T00:00:00"/>
    <x v="1"/>
    <x v="4"/>
    <x v="0"/>
    <x v="0"/>
    <x v="11"/>
    <x v="1"/>
    <x v="9"/>
    <x v="1"/>
  </r>
  <r>
    <s v="TX501636"/>
    <x v="7"/>
    <x v="21"/>
    <n v="41.5"/>
    <x v="1307"/>
    <x v="60"/>
    <d v="2025-03-16T00:00:00"/>
    <x v="1"/>
    <x v="1"/>
    <x v="0"/>
    <x v="0"/>
    <x v="53"/>
    <x v="12"/>
    <x v="9"/>
    <x v="1"/>
  </r>
  <r>
    <s v="TX501637"/>
    <x v="8"/>
    <x v="0"/>
    <n v="32.799999999999997"/>
    <x v="944"/>
    <x v="60"/>
    <d v="2025-03-05T00:00:00"/>
    <x v="1"/>
    <x v="0"/>
    <x v="2"/>
    <x v="0"/>
    <x v="30"/>
    <x v="2"/>
    <x v="9"/>
    <x v="1"/>
  </r>
  <r>
    <s v="TX501638"/>
    <x v="4"/>
    <x v="3"/>
    <n v="46.7"/>
    <x v="1308"/>
    <x v="60"/>
    <d v="2025-03-04T00:00:00"/>
    <x v="3"/>
    <x v="0"/>
    <x v="2"/>
    <x v="0"/>
    <x v="18"/>
    <x v="1"/>
    <x v="9"/>
    <x v="3"/>
  </r>
  <r>
    <s v="TX501639"/>
    <x v="15"/>
    <x v="3"/>
    <n v="21"/>
    <x v="926"/>
    <x v="60"/>
    <d v="2025-03-05T00:00:00"/>
    <x v="1"/>
    <x v="2"/>
    <x v="1"/>
    <x v="0"/>
    <x v="21"/>
    <x v="2"/>
    <x v="9"/>
    <x v="1"/>
  </r>
  <r>
    <s v="TX501640"/>
    <x v="5"/>
    <x v="3"/>
    <n v="29.4"/>
    <x v="43"/>
    <x v="60"/>
    <d v="2025-03-02T00:00:00"/>
    <x v="1"/>
    <x v="3"/>
    <x v="2"/>
    <x v="0"/>
    <x v="21"/>
    <x v="7"/>
    <x v="9"/>
    <x v="1"/>
  </r>
  <r>
    <s v="TX501641"/>
    <x v="15"/>
    <x v="1"/>
    <n v="32.299999999999997"/>
    <x v="1099"/>
    <x v="60"/>
    <d v="2025-03-03T00:00:00"/>
    <x v="1"/>
    <x v="0"/>
    <x v="2"/>
    <x v="0"/>
    <x v="21"/>
    <x v="3"/>
    <x v="9"/>
    <x v="1"/>
  </r>
  <r>
    <s v="TX501642"/>
    <x v="6"/>
    <x v="0"/>
    <n v="42.2"/>
    <x v="1283"/>
    <x v="61"/>
    <d v="2025-03-05T00:00:00"/>
    <x v="2"/>
    <x v="0"/>
    <x v="2"/>
    <x v="0"/>
    <x v="21"/>
    <x v="1"/>
    <x v="9"/>
    <x v="2"/>
  </r>
  <r>
    <s v="TX501643"/>
    <x v="6"/>
    <x v="0"/>
    <n v="53.7"/>
    <x v="1309"/>
    <x v="61"/>
    <d v="2025-03-05T00:00:00"/>
    <x v="1"/>
    <x v="1"/>
    <x v="1"/>
    <x v="0"/>
    <x v="1"/>
    <x v="1"/>
    <x v="9"/>
    <x v="1"/>
  </r>
  <r>
    <s v="TX501644"/>
    <x v="2"/>
    <x v="1"/>
    <n v="123.9"/>
    <x v="1310"/>
    <x v="61"/>
    <d v="2025-03-06T00:00:00"/>
    <x v="1"/>
    <x v="2"/>
    <x v="0"/>
    <x v="0"/>
    <x v="1"/>
    <x v="2"/>
    <x v="9"/>
    <x v="1"/>
  </r>
  <r>
    <s v="TX501645"/>
    <x v="4"/>
    <x v="2"/>
    <n v="35.9"/>
    <x v="1311"/>
    <x v="61"/>
    <d v="2025-03-05T00:00:00"/>
    <x v="1"/>
    <x v="2"/>
    <x v="0"/>
    <x v="0"/>
    <x v="22"/>
    <x v="1"/>
    <x v="9"/>
    <x v="1"/>
  </r>
  <r>
    <s v="TX501646"/>
    <x v="4"/>
    <x v="1"/>
    <n v="23.6"/>
    <x v="828"/>
    <x v="61"/>
    <d v="2025-03-06T00:00:00"/>
    <x v="1"/>
    <x v="0"/>
    <x v="2"/>
    <x v="0"/>
    <x v="3"/>
    <x v="2"/>
    <x v="9"/>
    <x v="1"/>
  </r>
  <r>
    <s v="TX501647"/>
    <x v="15"/>
    <x v="36"/>
    <n v="45.7"/>
    <x v="1312"/>
    <x v="61"/>
    <d v="2025-03-04T00:00:00"/>
    <x v="1"/>
    <x v="0"/>
    <x v="1"/>
    <x v="0"/>
    <x v="3"/>
    <x v="3"/>
    <x v="9"/>
    <x v="1"/>
  </r>
  <r>
    <s v="TX501648"/>
    <x v="6"/>
    <x v="5"/>
    <n v="118.3"/>
    <x v="1313"/>
    <x v="61"/>
    <d v="2025-03-05T00:00:00"/>
    <x v="1"/>
    <x v="4"/>
    <x v="2"/>
    <x v="0"/>
    <x v="3"/>
    <x v="1"/>
    <x v="9"/>
    <x v="1"/>
  </r>
  <r>
    <s v="TX501649"/>
    <x v="19"/>
    <x v="0"/>
    <n v="36"/>
    <x v="53"/>
    <x v="61"/>
    <d v="2025-03-04T00:00:00"/>
    <x v="2"/>
    <x v="0"/>
    <x v="1"/>
    <x v="0"/>
    <x v="3"/>
    <x v="3"/>
    <x v="9"/>
    <x v="2"/>
  </r>
  <r>
    <s v="TX501650"/>
    <x v="8"/>
    <x v="1"/>
    <n v="37.1"/>
    <x v="1314"/>
    <x v="61"/>
    <d v="2025-03-06T00:00:00"/>
    <x v="2"/>
    <x v="2"/>
    <x v="0"/>
    <x v="0"/>
    <x v="3"/>
    <x v="2"/>
    <x v="9"/>
    <x v="2"/>
  </r>
  <r>
    <s v="TX501651"/>
    <x v="18"/>
    <x v="2"/>
    <n v="45.1"/>
    <x v="246"/>
    <x v="61"/>
    <d v="2025-03-05T00:00:00"/>
    <x v="2"/>
    <x v="1"/>
    <x v="2"/>
    <x v="0"/>
    <x v="3"/>
    <x v="1"/>
    <x v="9"/>
    <x v="2"/>
  </r>
  <r>
    <s v="TX501652"/>
    <x v="5"/>
    <x v="27"/>
    <n v="37.9"/>
    <x v="1315"/>
    <x v="61"/>
    <d v="2025-03-04T00:00:00"/>
    <x v="2"/>
    <x v="3"/>
    <x v="2"/>
    <x v="0"/>
    <x v="3"/>
    <x v="3"/>
    <x v="9"/>
    <x v="2"/>
  </r>
  <r>
    <s v="TX501653"/>
    <x v="2"/>
    <x v="1"/>
    <n v="121.6"/>
    <x v="1316"/>
    <x v="61"/>
    <d v="2025-03-06T00:00:00"/>
    <x v="1"/>
    <x v="3"/>
    <x v="2"/>
    <x v="0"/>
    <x v="3"/>
    <x v="2"/>
    <x v="9"/>
    <x v="1"/>
  </r>
  <r>
    <s v="TX501654"/>
    <x v="5"/>
    <x v="3"/>
    <n v="38.200000000000003"/>
    <x v="1317"/>
    <x v="61"/>
    <d v="2025-03-06T00:00:00"/>
    <x v="2"/>
    <x v="0"/>
    <x v="0"/>
    <x v="0"/>
    <x v="3"/>
    <x v="2"/>
    <x v="9"/>
    <x v="2"/>
  </r>
  <r>
    <s v="TX501655"/>
    <x v="17"/>
    <x v="1"/>
    <n v="37.200000000000003"/>
    <x v="610"/>
    <x v="61"/>
    <d v="2025-03-06T00:00:00"/>
    <x v="1"/>
    <x v="4"/>
    <x v="0"/>
    <x v="0"/>
    <x v="3"/>
    <x v="2"/>
    <x v="9"/>
    <x v="1"/>
  </r>
  <r>
    <s v="TX501656"/>
    <x v="2"/>
    <x v="12"/>
    <n v="115.7"/>
    <x v="1318"/>
    <x v="61"/>
    <d v="2025-03-06T00:00:00"/>
    <x v="2"/>
    <x v="1"/>
    <x v="0"/>
    <x v="0"/>
    <x v="3"/>
    <x v="2"/>
    <x v="9"/>
    <x v="2"/>
  </r>
  <r>
    <s v="TX501657"/>
    <x v="2"/>
    <x v="13"/>
    <n v="99.4"/>
    <x v="1319"/>
    <x v="61"/>
    <d v="2025-03-06T00:00:00"/>
    <x v="1"/>
    <x v="0"/>
    <x v="2"/>
    <x v="0"/>
    <x v="3"/>
    <x v="2"/>
    <x v="9"/>
    <x v="1"/>
  </r>
  <r>
    <s v="TX501658"/>
    <x v="11"/>
    <x v="0"/>
    <n v="38.700000000000003"/>
    <x v="1320"/>
    <x v="61"/>
    <d v="2025-03-04T00:00:00"/>
    <x v="2"/>
    <x v="2"/>
    <x v="0"/>
    <x v="0"/>
    <x v="25"/>
    <x v="3"/>
    <x v="9"/>
    <x v="2"/>
  </r>
  <r>
    <s v="TX501659"/>
    <x v="4"/>
    <x v="1"/>
    <n v="35.5"/>
    <x v="1321"/>
    <x v="61"/>
    <d v="2025-03-06T00:00:00"/>
    <x v="1"/>
    <x v="0"/>
    <x v="2"/>
    <x v="0"/>
    <x v="25"/>
    <x v="2"/>
    <x v="9"/>
    <x v="1"/>
  </r>
  <r>
    <s v="TX501660"/>
    <x v="2"/>
    <x v="12"/>
    <n v="93.3"/>
    <x v="1322"/>
    <x v="61"/>
    <d v="2025-03-06T00:00:00"/>
    <x v="2"/>
    <x v="0"/>
    <x v="2"/>
    <x v="0"/>
    <x v="6"/>
    <x v="2"/>
    <x v="9"/>
    <x v="2"/>
  </r>
  <r>
    <s v="TX501661"/>
    <x v="16"/>
    <x v="0"/>
    <n v="31.4"/>
    <x v="1323"/>
    <x v="61"/>
    <d v="2025-03-08T00:00:00"/>
    <x v="2"/>
    <x v="2"/>
    <x v="2"/>
    <x v="0"/>
    <x v="6"/>
    <x v="0"/>
    <x v="9"/>
    <x v="2"/>
  </r>
  <r>
    <s v="TX501662"/>
    <x v="1"/>
    <x v="0"/>
    <n v="85.9"/>
    <x v="1324"/>
    <x v="61"/>
    <d v="2025-03-06T00:00:00"/>
    <x v="1"/>
    <x v="1"/>
    <x v="0"/>
    <x v="0"/>
    <x v="6"/>
    <x v="2"/>
    <x v="9"/>
    <x v="1"/>
  </r>
  <r>
    <s v="TX501663"/>
    <x v="6"/>
    <x v="8"/>
    <n v="41.7"/>
    <x v="335"/>
    <x v="61"/>
    <d v="2025-03-11T00:00:00"/>
    <x v="1"/>
    <x v="0"/>
    <x v="2"/>
    <x v="0"/>
    <x v="7"/>
    <x v="9"/>
    <x v="9"/>
    <x v="1"/>
  </r>
  <r>
    <s v="TX501664"/>
    <x v="8"/>
    <x v="12"/>
    <n v="31.5"/>
    <x v="624"/>
    <x v="61"/>
    <d v="2025-03-04T00:00:00"/>
    <x v="2"/>
    <x v="0"/>
    <x v="0"/>
    <x v="0"/>
    <x v="7"/>
    <x v="3"/>
    <x v="9"/>
    <x v="2"/>
  </r>
  <r>
    <s v="TX501665"/>
    <x v="8"/>
    <x v="1"/>
    <n v="36.299999999999997"/>
    <x v="1325"/>
    <x v="61"/>
    <d v="2025-03-04T00:00:00"/>
    <x v="2"/>
    <x v="0"/>
    <x v="4"/>
    <x v="0"/>
    <x v="8"/>
    <x v="3"/>
    <x v="9"/>
    <x v="2"/>
  </r>
  <r>
    <s v="TX501666"/>
    <x v="8"/>
    <x v="2"/>
    <n v="33.4"/>
    <x v="1326"/>
    <x v="61"/>
    <d v="2025-03-04T00:00:00"/>
    <x v="2"/>
    <x v="3"/>
    <x v="0"/>
    <x v="0"/>
    <x v="17"/>
    <x v="3"/>
    <x v="9"/>
    <x v="2"/>
  </r>
  <r>
    <s v="TX501667"/>
    <x v="2"/>
    <x v="2"/>
    <n v="65.2"/>
    <x v="1327"/>
    <x v="61"/>
    <d v="2025-03-04T00:00:00"/>
    <x v="2"/>
    <x v="2"/>
    <x v="2"/>
    <x v="0"/>
    <x v="26"/>
    <x v="3"/>
    <x v="9"/>
    <x v="2"/>
  </r>
  <r>
    <s v="TX501668"/>
    <x v="8"/>
    <x v="11"/>
    <n v="65.5"/>
    <x v="1328"/>
    <x v="61"/>
    <d v="2025-03-06T00:00:00"/>
    <x v="2"/>
    <x v="0"/>
    <x v="2"/>
    <x v="0"/>
    <x v="9"/>
    <x v="2"/>
    <x v="9"/>
    <x v="2"/>
  </r>
  <r>
    <s v="TX501669"/>
    <x v="6"/>
    <x v="2"/>
    <n v="52.8"/>
    <x v="1329"/>
    <x v="61"/>
    <d v="2025-03-06T00:00:00"/>
    <x v="1"/>
    <x v="2"/>
    <x v="0"/>
    <x v="0"/>
    <x v="9"/>
    <x v="2"/>
    <x v="9"/>
    <x v="1"/>
  </r>
  <r>
    <s v="TX501670"/>
    <x v="9"/>
    <x v="9"/>
    <n v="24"/>
    <x v="160"/>
    <x v="61"/>
    <d v="2025-03-07T00:00:00"/>
    <x v="1"/>
    <x v="0"/>
    <x v="1"/>
    <x v="0"/>
    <x v="11"/>
    <x v="5"/>
    <x v="9"/>
    <x v="1"/>
  </r>
  <r>
    <s v="TX501671"/>
    <x v="3"/>
    <x v="2"/>
    <n v="51.2"/>
    <x v="1330"/>
    <x v="61"/>
    <d v="2025-03-04T00:00:00"/>
    <x v="2"/>
    <x v="0"/>
    <x v="0"/>
    <x v="0"/>
    <x v="32"/>
    <x v="3"/>
    <x v="9"/>
    <x v="2"/>
  </r>
  <r>
    <s v="TX501672"/>
    <x v="5"/>
    <x v="2"/>
    <n v="28.3"/>
    <x v="1331"/>
    <x v="61"/>
    <d v="2025-03-05T00:00:00"/>
    <x v="1"/>
    <x v="4"/>
    <x v="0"/>
    <x v="0"/>
    <x v="19"/>
    <x v="1"/>
    <x v="9"/>
    <x v="1"/>
  </r>
  <r>
    <s v="TX501673"/>
    <x v="6"/>
    <x v="2"/>
    <n v="42.3"/>
    <x v="1332"/>
    <x v="61"/>
    <d v="2025-03-03T00:00:00"/>
    <x v="2"/>
    <x v="2"/>
    <x v="1"/>
    <x v="0"/>
    <x v="19"/>
    <x v="7"/>
    <x v="9"/>
    <x v="2"/>
  </r>
  <r>
    <s v="TX501674"/>
    <x v="2"/>
    <x v="8"/>
    <n v="163.30000000000001"/>
    <x v="1333"/>
    <x v="62"/>
    <d v="2025-03-05T00:00:00"/>
    <x v="2"/>
    <x v="1"/>
    <x v="0"/>
    <x v="0"/>
    <x v="13"/>
    <x v="3"/>
    <x v="9"/>
    <x v="2"/>
  </r>
  <r>
    <s v="TX501675"/>
    <x v="6"/>
    <x v="3"/>
    <n v="47.3"/>
    <x v="1334"/>
    <x v="62"/>
    <d v="2025-03-07T00:00:00"/>
    <x v="2"/>
    <x v="4"/>
    <x v="1"/>
    <x v="0"/>
    <x v="21"/>
    <x v="2"/>
    <x v="9"/>
    <x v="2"/>
  </r>
  <r>
    <s v="TX501676"/>
    <x v="8"/>
    <x v="27"/>
    <n v="27.3"/>
    <x v="1335"/>
    <x v="62"/>
    <d v="2025-03-05T00:00:00"/>
    <x v="2"/>
    <x v="2"/>
    <x v="0"/>
    <x v="0"/>
    <x v="21"/>
    <x v="3"/>
    <x v="9"/>
    <x v="2"/>
  </r>
  <r>
    <s v="TX501677"/>
    <x v="10"/>
    <x v="13"/>
    <n v="34.9"/>
    <x v="1336"/>
    <x v="62"/>
    <d v="2025-03-15T00:00:00"/>
    <x v="2"/>
    <x v="0"/>
    <x v="0"/>
    <x v="0"/>
    <x v="21"/>
    <x v="11"/>
    <x v="9"/>
    <x v="2"/>
  </r>
  <r>
    <s v="TX501678"/>
    <x v="6"/>
    <x v="1"/>
    <n v="53.9"/>
    <x v="215"/>
    <x v="62"/>
    <d v="2025-03-07T00:00:00"/>
    <x v="3"/>
    <x v="0"/>
    <x v="4"/>
    <x v="0"/>
    <x v="1"/>
    <x v="2"/>
    <x v="9"/>
    <x v="3"/>
  </r>
  <r>
    <s v="TX501679"/>
    <x v="2"/>
    <x v="1"/>
    <n v="87.2"/>
    <x v="1337"/>
    <x v="62"/>
    <d v="2025-03-05T00:00:00"/>
    <x v="2"/>
    <x v="0"/>
    <x v="1"/>
    <x v="0"/>
    <x v="1"/>
    <x v="3"/>
    <x v="9"/>
    <x v="2"/>
  </r>
  <r>
    <s v="TX501680"/>
    <x v="15"/>
    <x v="0"/>
    <n v="58.8"/>
    <x v="572"/>
    <x v="62"/>
    <d v="2025-03-06T00:00:00"/>
    <x v="2"/>
    <x v="2"/>
    <x v="0"/>
    <x v="0"/>
    <x v="44"/>
    <x v="1"/>
    <x v="9"/>
    <x v="2"/>
  </r>
  <r>
    <s v="TX501681"/>
    <x v="2"/>
    <x v="3"/>
    <n v="125.5"/>
    <x v="1338"/>
    <x v="62"/>
    <d v="2025-03-05T00:00:00"/>
    <x v="1"/>
    <x v="2"/>
    <x v="4"/>
    <x v="0"/>
    <x v="22"/>
    <x v="3"/>
    <x v="9"/>
    <x v="1"/>
  </r>
  <r>
    <s v="TX501682"/>
    <x v="1"/>
    <x v="12"/>
    <n v="124.6"/>
    <x v="1339"/>
    <x v="62"/>
    <d v="2025-03-06T00:00:00"/>
    <x v="2"/>
    <x v="0"/>
    <x v="1"/>
    <x v="0"/>
    <x v="22"/>
    <x v="1"/>
    <x v="9"/>
    <x v="2"/>
  </r>
  <r>
    <s v="TX501683"/>
    <x v="1"/>
    <x v="3"/>
    <n v="39.9"/>
    <x v="1340"/>
    <x v="62"/>
    <d v="2025-03-05T00:00:00"/>
    <x v="1"/>
    <x v="2"/>
    <x v="1"/>
    <x v="0"/>
    <x v="3"/>
    <x v="3"/>
    <x v="9"/>
    <x v="1"/>
  </r>
  <r>
    <s v="TX501684"/>
    <x v="6"/>
    <x v="0"/>
    <n v="94.6"/>
    <x v="422"/>
    <x v="62"/>
    <d v="2025-03-18T00:00:00"/>
    <x v="2"/>
    <x v="0"/>
    <x v="1"/>
    <x v="0"/>
    <x v="3"/>
    <x v="12"/>
    <x v="9"/>
    <x v="2"/>
  </r>
  <r>
    <s v="TX501685"/>
    <x v="2"/>
    <x v="1"/>
    <n v="149.6"/>
    <x v="1341"/>
    <x v="62"/>
    <d v="2025-03-05T00:00:00"/>
    <x v="2"/>
    <x v="0"/>
    <x v="0"/>
    <x v="0"/>
    <x v="3"/>
    <x v="3"/>
    <x v="9"/>
    <x v="2"/>
  </r>
  <r>
    <s v="TX501686"/>
    <x v="8"/>
    <x v="0"/>
    <n v="52.2"/>
    <x v="1342"/>
    <x v="62"/>
    <d v="2025-03-05T00:00:00"/>
    <x v="0"/>
    <x v="1"/>
    <x v="0"/>
    <x v="0"/>
    <x v="3"/>
    <x v="3"/>
    <x v="9"/>
    <x v="0"/>
  </r>
  <r>
    <s v="TX501687"/>
    <x v="6"/>
    <x v="1"/>
    <n v="96.5"/>
    <x v="1343"/>
    <x v="62"/>
    <d v="2025-03-05T00:00:00"/>
    <x v="2"/>
    <x v="1"/>
    <x v="1"/>
    <x v="0"/>
    <x v="3"/>
    <x v="3"/>
    <x v="9"/>
    <x v="2"/>
  </r>
  <r>
    <s v="TX501688"/>
    <x v="8"/>
    <x v="1"/>
    <n v="79.8"/>
    <x v="1344"/>
    <x v="62"/>
    <d v="2025-03-06T00:00:00"/>
    <x v="2"/>
    <x v="0"/>
    <x v="1"/>
    <x v="0"/>
    <x v="3"/>
    <x v="1"/>
    <x v="9"/>
    <x v="2"/>
  </r>
  <r>
    <s v="TX501689"/>
    <x v="8"/>
    <x v="2"/>
    <n v="35.6"/>
    <x v="694"/>
    <x v="62"/>
    <d v="2025-03-05T00:00:00"/>
    <x v="2"/>
    <x v="2"/>
    <x v="0"/>
    <x v="0"/>
    <x v="3"/>
    <x v="3"/>
    <x v="9"/>
    <x v="2"/>
  </r>
  <r>
    <s v="TX501690"/>
    <x v="16"/>
    <x v="0"/>
    <n v="50.2"/>
    <x v="486"/>
    <x v="62"/>
    <d v="2025-03-05T00:00:00"/>
    <x v="2"/>
    <x v="1"/>
    <x v="2"/>
    <x v="0"/>
    <x v="3"/>
    <x v="3"/>
    <x v="9"/>
    <x v="2"/>
  </r>
  <r>
    <s v="TX501691"/>
    <x v="1"/>
    <x v="2"/>
    <n v="55.3"/>
    <x v="1345"/>
    <x v="62"/>
    <d v="2025-03-07T00:00:00"/>
    <x v="2"/>
    <x v="0"/>
    <x v="4"/>
    <x v="0"/>
    <x v="40"/>
    <x v="2"/>
    <x v="9"/>
    <x v="2"/>
  </r>
  <r>
    <s v="TX501692"/>
    <x v="6"/>
    <x v="3"/>
    <n v="104.5"/>
    <x v="1346"/>
    <x v="62"/>
    <d v="2025-03-08T00:00:00"/>
    <x v="2"/>
    <x v="1"/>
    <x v="0"/>
    <x v="0"/>
    <x v="7"/>
    <x v="5"/>
    <x v="9"/>
    <x v="2"/>
  </r>
  <r>
    <s v="TX501693"/>
    <x v="6"/>
    <x v="12"/>
    <n v="66.5"/>
    <x v="751"/>
    <x v="62"/>
    <d v="2025-03-06T00:00:00"/>
    <x v="1"/>
    <x v="1"/>
    <x v="0"/>
    <x v="0"/>
    <x v="7"/>
    <x v="1"/>
    <x v="9"/>
    <x v="1"/>
  </r>
  <r>
    <s v="TX501694"/>
    <x v="10"/>
    <x v="8"/>
    <n v="38.299999999999997"/>
    <x v="1347"/>
    <x v="62"/>
    <d v="2025-03-05T00:00:00"/>
    <x v="2"/>
    <x v="0"/>
    <x v="0"/>
    <x v="0"/>
    <x v="7"/>
    <x v="3"/>
    <x v="9"/>
    <x v="2"/>
  </r>
  <r>
    <s v="TX501695"/>
    <x v="6"/>
    <x v="2"/>
    <n v="63.8"/>
    <x v="1348"/>
    <x v="62"/>
    <d v="2025-03-07T00:00:00"/>
    <x v="2"/>
    <x v="1"/>
    <x v="0"/>
    <x v="0"/>
    <x v="8"/>
    <x v="2"/>
    <x v="9"/>
    <x v="2"/>
  </r>
  <r>
    <s v="TX501696"/>
    <x v="15"/>
    <x v="0"/>
    <n v="21.4"/>
    <x v="1349"/>
    <x v="62"/>
    <d v="2025-03-04T00:00:00"/>
    <x v="1"/>
    <x v="4"/>
    <x v="0"/>
    <x v="0"/>
    <x v="8"/>
    <x v="7"/>
    <x v="9"/>
    <x v="1"/>
  </r>
  <r>
    <s v="TX501697"/>
    <x v="8"/>
    <x v="12"/>
    <n v="44.1"/>
    <x v="1350"/>
    <x v="62"/>
    <d v="2025-03-06T00:00:00"/>
    <x v="2"/>
    <x v="2"/>
    <x v="0"/>
    <x v="0"/>
    <x v="8"/>
    <x v="1"/>
    <x v="9"/>
    <x v="2"/>
  </r>
  <r>
    <s v="TX501698"/>
    <x v="5"/>
    <x v="8"/>
    <n v="57.6"/>
    <x v="1351"/>
    <x v="62"/>
    <d v="2025-03-06T00:00:00"/>
    <x v="1"/>
    <x v="1"/>
    <x v="2"/>
    <x v="0"/>
    <x v="8"/>
    <x v="1"/>
    <x v="9"/>
    <x v="1"/>
  </r>
  <r>
    <s v="TX501699"/>
    <x v="9"/>
    <x v="1"/>
    <n v="20.3"/>
    <x v="1352"/>
    <x v="62"/>
    <d v="2025-03-10T00:00:00"/>
    <x v="2"/>
    <x v="3"/>
    <x v="0"/>
    <x v="0"/>
    <x v="8"/>
    <x v="4"/>
    <x v="9"/>
    <x v="2"/>
  </r>
  <r>
    <s v="TX501700"/>
    <x v="8"/>
    <x v="0"/>
    <n v="22.9"/>
    <x v="1246"/>
    <x v="62"/>
    <d v="2025-03-06T00:00:00"/>
    <x v="2"/>
    <x v="2"/>
    <x v="2"/>
    <x v="0"/>
    <x v="8"/>
    <x v="1"/>
    <x v="9"/>
    <x v="2"/>
  </r>
  <r>
    <s v="TX501701"/>
    <x v="6"/>
    <x v="12"/>
    <n v="105.9"/>
    <x v="1353"/>
    <x v="62"/>
    <d v="2025-03-05T00:00:00"/>
    <x v="2"/>
    <x v="1"/>
    <x v="2"/>
    <x v="0"/>
    <x v="17"/>
    <x v="3"/>
    <x v="9"/>
    <x v="2"/>
  </r>
  <r>
    <s v="TX501702"/>
    <x v="1"/>
    <x v="11"/>
    <n v="37.4"/>
    <x v="1354"/>
    <x v="62"/>
    <d v="2025-03-08T00:00:00"/>
    <x v="1"/>
    <x v="1"/>
    <x v="0"/>
    <x v="0"/>
    <x v="11"/>
    <x v="5"/>
    <x v="9"/>
    <x v="1"/>
  </r>
  <r>
    <s v="TX501703"/>
    <x v="18"/>
    <x v="1"/>
    <n v="79"/>
    <x v="1355"/>
    <x v="62"/>
    <d v="2025-03-05T00:00:00"/>
    <x v="1"/>
    <x v="2"/>
    <x v="0"/>
    <x v="0"/>
    <x v="28"/>
    <x v="3"/>
    <x v="9"/>
    <x v="1"/>
  </r>
  <r>
    <s v="TX501704"/>
    <x v="0"/>
    <x v="2"/>
    <n v="19.3"/>
    <x v="1356"/>
    <x v="62"/>
    <d v="2025-03-05T00:00:00"/>
    <x v="2"/>
    <x v="4"/>
    <x v="0"/>
    <x v="0"/>
    <x v="21"/>
    <x v="3"/>
    <x v="9"/>
    <x v="2"/>
  </r>
  <r>
    <s v="TX501705"/>
    <x v="0"/>
    <x v="0"/>
    <n v="24"/>
    <x v="835"/>
    <x v="62"/>
    <d v="2025-03-05T00:00:00"/>
    <x v="2"/>
    <x v="1"/>
    <x v="0"/>
    <x v="0"/>
    <x v="1"/>
    <x v="3"/>
    <x v="9"/>
    <x v="2"/>
  </r>
  <r>
    <s v="TX501706"/>
    <x v="6"/>
    <x v="9"/>
    <n v="71.3"/>
    <x v="1357"/>
    <x v="62"/>
    <d v="2025-03-07T00:00:00"/>
    <x v="2"/>
    <x v="2"/>
    <x v="0"/>
    <x v="0"/>
    <x v="2"/>
    <x v="2"/>
    <x v="9"/>
    <x v="2"/>
  </r>
  <r>
    <s v="TX501707"/>
    <x v="5"/>
    <x v="1"/>
    <n v="166.2"/>
    <x v="1358"/>
    <x v="62"/>
    <d v="2025-03-05T00:00:00"/>
    <x v="1"/>
    <x v="0"/>
    <x v="2"/>
    <x v="0"/>
    <x v="50"/>
    <x v="3"/>
    <x v="9"/>
    <x v="1"/>
  </r>
  <r>
    <s v="TX501708"/>
    <x v="6"/>
    <x v="0"/>
    <n v="81"/>
    <x v="969"/>
    <x v="62"/>
    <d v="2025-03-05T00:00:00"/>
    <x v="2"/>
    <x v="2"/>
    <x v="1"/>
    <x v="0"/>
    <x v="3"/>
    <x v="3"/>
    <x v="9"/>
    <x v="2"/>
  </r>
  <r>
    <s v="TX501709"/>
    <x v="10"/>
    <x v="13"/>
    <n v="38.5"/>
    <x v="1359"/>
    <x v="62"/>
    <d v="2025-03-08T00:00:00"/>
    <x v="2"/>
    <x v="0"/>
    <x v="0"/>
    <x v="0"/>
    <x v="3"/>
    <x v="5"/>
    <x v="9"/>
    <x v="2"/>
  </r>
  <r>
    <s v="TX501710"/>
    <x v="6"/>
    <x v="0"/>
    <n v="86.1"/>
    <x v="1360"/>
    <x v="62"/>
    <d v="2025-03-06T00:00:00"/>
    <x v="2"/>
    <x v="3"/>
    <x v="0"/>
    <x v="0"/>
    <x v="3"/>
    <x v="1"/>
    <x v="9"/>
    <x v="2"/>
  </r>
  <r>
    <s v="TX501711"/>
    <x v="2"/>
    <x v="9"/>
    <n v="51"/>
    <x v="951"/>
    <x v="62"/>
    <d v="2025-03-05T00:00:00"/>
    <x v="1"/>
    <x v="0"/>
    <x v="1"/>
    <x v="0"/>
    <x v="3"/>
    <x v="3"/>
    <x v="9"/>
    <x v="1"/>
  </r>
  <r>
    <s v="TX501712"/>
    <x v="3"/>
    <x v="9"/>
    <n v="115.4"/>
    <x v="1361"/>
    <x v="62"/>
    <d v="2025-03-05T00:00:00"/>
    <x v="1"/>
    <x v="0"/>
    <x v="0"/>
    <x v="0"/>
    <x v="3"/>
    <x v="3"/>
    <x v="9"/>
    <x v="1"/>
  </r>
  <r>
    <s v="TX501713"/>
    <x v="6"/>
    <x v="12"/>
    <n v="176.5"/>
    <x v="1362"/>
    <x v="62"/>
    <d v="2025-03-05T00:00:00"/>
    <x v="2"/>
    <x v="2"/>
    <x v="2"/>
    <x v="0"/>
    <x v="3"/>
    <x v="3"/>
    <x v="9"/>
    <x v="2"/>
  </r>
  <r>
    <s v="TX501714"/>
    <x v="7"/>
    <x v="2"/>
    <n v="48.9"/>
    <x v="1363"/>
    <x v="62"/>
    <d v="2025-03-05T00:00:00"/>
    <x v="1"/>
    <x v="4"/>
    <x v="0"/>
    <x v="0"/>
    <x v="3"/>
    <x v="3"/>
    <x v="9"/>
    <x v="1"/>
  </r>
  <r>
    <s v="TX501715"/>
    <x v="8"/>
    <x v="2"/>
    <n v="18.100000000000001"/>
    <x v="1364"/>
    <x v="62"/>
    <d v="2025-03-11T00:00:00"/>
    <x v="2"/>
    <x v="1"/>
    <x v="2"/>
    <x v="0"/>
    <x v="29"/>
    <x v="6"/>
    <x v="9"/>
    <x v="2"/>
  </r>
  <r>
    <s v="TX501716"/>
    <x v="2"/>
    <x v="1"/>
    <n v="118.5"/>
    <x v="1365"/>
    <x v="62"/>
    <d v="2025-03-07T00:00:00"/>
    <x v="1"/>
    <x v="1"/>
    <x v="2"/>
    <x v="0"/>
    <x v="16"/>
    <x v="2"/>
    <x v="9"/>
    <x v="1"/>
  </r>
  <r>
    <s v="TX501717"/>
    <x v="15"/>
    <x v="3"/>
    <n v="59.1"/>
    <x v="1366"/>
    <x v="62"/>
    <d v="2025-03-05T00:00:00"/>
    <x v="2"/>
    <x v="3"/>
    <x v="0"/>
    <x v="0"/>
    <x v="25"/>
    <x v="3"/>
    <x v="9"/>
    <x v="2"/>
  </r>
  <r>
    <s v="TX501718"/>
    <x v="4"/>
    <x v="0"/>
    <n v="21.2"/>
    <x v="333"/>
    <x v="62"/>
    <d v="2025-03-05T00:00:00"/>
    <x v="2"/>
    <x v="0"/>
    <x v="1"/>
    <x v="0"/>
    <x v="6"/>
    <x v="3"/>
    <x v="9"/>
    <x v="2"/>
  </r>
  <r>
    <s v="TX501719"/>
    <x v="6"/>
    <x v="1"/>
    <n v="68.8"/>
    <x v="1367"/>
    <x v="62"/>
    <d v="2025-03-09T00:00:00"/>
    <x v="2"/>
    <x v="3"/>
    <x v="2"/>
    <x v="0"/>
    <x v="6"/>
    <x v="0"/>
    <x v="9"/>
    <x v="2"/>
  </r>
  <r>
    <s v="TX501720"/>
    <x v="6"/>
    <x v="1"/>
    <n v="65.400000000000006"/>
    <x v="1272"/>
    <x v="62"/>
    <d v="2025-03-08T00:00:00"/>
    <x v="2"/>
    <x v="0"/>
    <x v="0"/>
    <x v="0"/>
    <x v="6"/>
    <x v="5"/>
    <x v="9"/>
    <x v="2"/>
  </r>
  <r>
    <s v="TX501721"/>
    <x v="12"/>
    <x v="9"/>
    <n v="66.3"/>
    <x v="1278"/>
    <x v="63"/>
    <d v="2025-03-08T00:00:00"/>
    <x v="2"/>
    <x v="4"/>
    <x v="0"/>
    <x v="0"/>
    <x v="6"/>
    <x v="2"/>
    <x v="9"/>
    <x v="2"/>
  </r>
  <r>
    <s v="TX501722"/>
    <x v="6"/>
    <x v="2"/>
    <n v="97.5"/>
    <x v="1368"/>
    <x v="63"/>
    <d v="2025-03-05T00:00:00"/>
    <x v="1"/>
    <x v="3"/>
    <x v="0"/>
    <x v="0"/>
    <x v="8"/>
    <x v="7"/>
    <x v="9"/>
    <x v="1"/>
  </r>
  <r>
    <s v="TX501723"/>
    <x v="1"/>
    <x v="1"/>
    <n v="44"/>
    <x v="1155"/>
    <x v="63"/>
    <d v="2025-03-08T00:00:00"/>
    <x v="2"/>
    <x v="1"/>
    <x v="2"/>
    <x v="0"/>
    <x v="8"/>
    <x v="2"/>
    <x v="9"/>
    <x v="2"/>
  </r>
  <r>
    <s v="TX501724"/>
    <x v="0"/>
    <x v="0"/>
    <n v="21.9"/>
    <x v="731"/>
    <x v="63"/>
    <d v="2025-03-06T00:00:00"/>
    <x v="1"/>
    <x v="0"/>
    <x v="0"/>
    <x v="0"/>
    <x v="8"/>
    <x v="3"/>
    <x v="9"/>
    <x v="1"/>
  </r>
  <r>
    <s v="TX501725"/>
    <x v="4"/>
    <x v="3"/>
    <n v="21.5"/>
    <x v="379"/>
    <x v="63"/>
    <d v="2025-03-07T00:00:00"/>
    <x v="2"/>
    <x v="1"/>
    <x v="2"/>
    <x v="0"/>
    <x v="9"/>
    <x v="1"/>
    <x v="9"/>
    <x v="2"/>
  </r>
  <r>
    <s v="TX501726"/>
    <x v="12"/>
    <x v="13"/>
    <n v="133"/>
    <x v="1369"/>
    <x v="63"/>
    <d v="2025-03-06T00:00:00"/>
    <x v="3"/>
    <x v="0"/>
    <x v="2"/>
    <x v="0"/>
    <x v="10"/>
    <x v="3"/>
    <x v="9"/>
    <x v="3"/>
  </r>
  <r>
    <s v="TX501727"/>
    <x v="8"/>
    <x v="1"/>
    <n v="47.7"/>
    <x v="233"/>
    <x v="63"/>
    <d v="2025-03-09T00:00:00"/>
    <x v="1"/>
    <x v="0"/>
    <x v="2"/>
    <x v="0"/>
    <x v="10"/>
    <x v="5"/>
    <x v="9"/>
    <x v="1"/>
  </r>
  <r>
    <s v="TX501728"/>
    <x v="16"/>
    <x v="2"/>
    <n v="58.1"/>
    <x v="889"/>
    <x v="63"/>
    <d v="2025-03-06T00:00:00"/>
    <x v="2"/>
    <x v="0"/>
    <x v="0"/>
    <x v="0"/>
    <x v="11"/>
    <x v="3"/>
    <x v="9"/>
    <x v="2"/>
  </r>
  <r>
    <s v="TX501729"/>
    <x v="12"/>
    <x v="12"/>
    <n v="66.599999999999994"/>
    <x v="1370"/>
    <x v="63"/>
    <d v="2025-03-06T00:00:00"/>
    <x v="0"/>
    <x v="0"/>
    <x v="0"/>
    <x v="0"/>
    <x v="11"/>
    <x v="3"/>
    <x v="9"/>
    <x v="0"/>
  </r>
  <r>
    <s v="TX501730"/>
    <x v="9"/>
    <x v="0"/>
    <n v="24.1"/>
    <x v="1057"/>
    <x v="63"/>
    <d v="2025-03-08T00:00:00"/>
    <x v="1"/>
    <x v="2"/>
    <x v="1"/>
    <x v="0"/>
    <x v="19"/>
    <x v="2"/>
    <x v="9"/>
    <x v="1"/>
  </r>
  <r>
    <s v="TX501731"/>
    <x v="10"/>
    <x v="9"/>
    <n v="51.5"/>
    <x v="1371"/>
    <x v="63"/>
    <d v="2025-03-10T00:00:00"/>
    <x v="2"/>
    <x v="0"/>
    <x v="0"/>
    <x v="0"/>
    <x v="13"/>
    <x v="0"/>
    <x v="9"/>
    <x v="2"/>
  </r>
  <r>
    <s v="TX501732"/>
    <x v="0"/>
    <x v="5"/>
    <n v="25.8"/>
    <x v="674"/>
    <x v="63"/>
    <d v="2025-03-09T00:00:00"/>
    <x v="2"/>
    <x v="3"/>
    <x v="4"/>
    <x v="0"/>
    <x v="21"/>
    <x v="5"/>
    <x v="9"/>
    <x v="2"/>
  </r>
  <r>
    <s v="TX501733"/>
    <x v="9"/>
    <x v="12"/>
    <n v="47.7"/>
    <x v="1372"/>
    <x v="63"/>
    <d v="2025-03-05T00:00:00"/>
    <x v="2"/>
    <x v="0"/>
    <x v="1"/>
    <x v="0"/>
    <x v="21"/>
    <x v="7"/>
    <x v="9"/>
    <x v="2"/>
  </r>
  <r>
    <s v="TX501734"/>
    <x v="7"/>
    <x v="9"/>
    <n v="73.599999999999994"/>
    <x v="1373"/>
    <x v="63"/>
    <d v="2025-03-09T00:00:00"/>
    <x v="1"/>
    <x v="1"/>
    <x v="0"/>
    <x v="0"/>
    <x v="21"/>
    <x v="5"/>
    <x v="9"/>
    <x v="1"/>
  </r>
  <r>
    <s v="TX501735"/>
    <x v="5"/>
    <x v="3"/>
    <n v="91.2"/>
    <x v="1374"/>
    <x v="63"/>
    <d v="2025-03-06T00:00:00"/>
    <x v="1"/>
    <x v="1"/>
    <x v="2"/>
    <x v="0"/>
    <x v="21"/>
    <x v="3"/>
    <x v="9"/>
    <x v="1"/>
  </r>
  <r>
    <s v="TX501736"/>
    <x v="1"/>
    <x v="8"/>
    <n v="36.200000000000003"/>
    <x v="1375"/>
    <x v="63"/>
    <d v="2025-03-05T00:00:00"/>
    <x v="1"/>
    <x v="2"/>
    <x v="2"/>
    <x v="0"/>
    <x v="1"/>
    <x v="7"/>
    <x v="9"/>
    <x v="1"/>
  </r>
  <r>
    <s v="TX501737"/>
    <x v="9"/>
    <x v="8"/>
    <n v="98"/>
    <x v="1376"/>
    <x v="63"/>
    <d v="2025-03-09T00:00:00"/>
    <x v="2"/>
    <x v="2"/>
    <x v="0"/>
    <x v="0"/>
    <x v="2"/>
    <x v="5"/>
    <x v="9"/>
    <x v="2"/>
  </r>
  <r>
    <s v="TX501738"/>
    <x v="1"/>
    <x v="8"/>
    <n v="43.6"/>
    <x v="1377"/>
    <x v="63"/>
    <d v="2025-03-06T00:00:00"/>
    <x v="2"/>
    <x v="2"/>
    <x v="0"/>
    <x v="0"/>
    <x v="22"/>
    <x v="3"/>
    <x v="9"/>
    <x v="2"/>
  </r>
  <r>
    <s v="TX501739"/>
    <x v="8"/>
    <x v="7"/>
    <n v="37.799999999999997"/>
    <x v="1378"/>
    <x v="63"/>
    <d v="2025-03-05T00:00:00"/>
    <x v="3"/>
    <x v="0"/>
    <x v="0"/>
    <x v="0"/>
    <x v="50"/>
    <x v="7"/>
    <x v="9"/>
    <x v="3"/>
  </r>
  <r>
    <s v="TX501740"/>
    <x v="17"/>
    <x v="9"/>
    <n v="63.7"/>
    <x v="46"/>
    <x v="63"/>
    <d v="2025-03-08T00:00:00"/>
    <x v="2"/>
    <x v="2"/>
    <x v="1"/>
    <x v="0"/>
    <x v="3"/>
    <x v="2"/>
    <x v="9"/>
    <x v="2"/>
  </r>
  <r>
    <s v="TX501741"/>
    <x v="5"/>
    <x v="11"/>
    <n v="62.9"/>
    <x v="1379"/>
    <x v="63"/>
    <d v="2025-03-10T00:00:00"/>
    <x v="1"/>
    <x v="3"/>
    <x v="2"/>
    <x v="0"/>
    <x v="3"/>
    <x v="0"/>
    <x v="9"/>
    <x v="1"/>
  </r>
  <r>
    <s v="TX501742"/>
    <x v="6"/>
    <x v="3"/>
    <n v="61.7"/>
    <x v="245"/>
    <x v="63"/>
    <d v="2025-03-08T00:00:00"/>
    <x v="2"/>
    <x v="2"/>
    <x v="2"/>
    <x v="0"/>
    <x v="3"/>
    <x v="2"/>
    <x v="9"/>
    <x v="2"/>
  </r>
  <r>
    <s v="TX501743"/>
    <x v="18"/>
    <x v="21"/>
    <n v="36.5"/>
    <x v="1380"/>
    <x v="63"/>
    <d v="2025-03-06T00:00:00"/>
    <x v="1"/>
    <x v="0"/>
    <x v="2"/>
    <x v="0"/>
    <x v="3"/>
    <x v="3"/>
    <x v="9"/>
    <x v="1"/>
  </r>
  <r>
    <s v="TX501744"/>
    <x v="11"/>
    <x v="2"/>
    <n v="98.6"/>
    <x v="1381"/>
    <x v="63"/>
    <d v="2025-03-08T00:00:00"/>
    <x v="3"/>
    <x v="0"/>
    <x v="4"/>
    <x v="0"/>
    <x v="3"/>
    <x v="2"/>
    <x v="9"/>
    <x v="3"/>
  </r>
  <r>
    <s v="TX501745"/>
    <x v="8"/>
    <x v="1"/>
    <n v="19.2"/>
    <x v="1139"/>
    <x v="63"/>
    <d v="2025-03-15T00:00:00"/>
    <x v="1"/>
    <x v="0"/>
    <x v="0"/>
    <x v="0"/>
    <x v="3"/>
    <x v="14"/>
    <x v="9"/>
    <x v="1"/>
  </r>
  <r>
    <s v="TX501746"/>
    <x v="3"/>
    <x v="13"/>
    <n v="55.6"/>
    <x v="335"/>
    <x v="63"/>
    <d v="2025-03-09T00:00:00"/>
    <x v="2"/>
    <x v="0"/>
    <x v="2"/>
    <x v="0"/>
    <x v="3"/>
    <x v="5"/>
    <x v="9"/>
    <x v="2"/>
  </r>
  <r>
    <s v="TX501747"/>
    <x v="5"/>
    <x v="13"/>
    <n v="56.4"/>
    <x v="1382"/>
    <x v="63"/>
    <d v="2025-03-06T00:00:00"/>
    <x v="2"/>
    <x v="1"/>
    <x v="0"/>
    <x v="0"/>
    <x v="3"/>
    <x v="3"/>
    <x v="9"/>
    <x v="2"/>
  </r>
  <r>
    <s v="TX501748"/>
    <x v="4"/>
    <x v="8"/>
    <n v="43.1"/>
    <x v="1383"/>
    <x v="63"/>
    <d v="2025-03-09T00:00:00"/>
    <x v="2"/>
    <x v="4"/>
    <x v="0"/>
    <x v="0"/>
    <x v="3"/>
    <x v="5"/>
    <x v="9"/>
    <x v="2"/>
  </r>
  <r>
    <s v="TX501749"/>
    <x v="1"/>
    <x v="1"/>
    <n v="77.3"/>
    <x v="1384"/>
    <x v="63"/>
    <d v="2025-03-07T00:00:00"/>
    <x v="1"/>
    <x v="0"/>
    <x v="0"/>
    <x v="0"/>
    <x v="6"/>
    <x v="1"/>
    <x v="9"/>
    <x v="1"/>
  </r>
  <r>
    <s v="TX501750"/>
    <x v="9"/>
    <x v="8"/>
    <n v="38.299999999999997"/>
    <x v="1347"/>
    <x v="63"/>
    <d v="2025-03-06T00:00:00"/>
    <x v="1"/>
    <x v="0"/>
    <x v="0"/>
    <x v="0"/>
    <x v="7"/>
    <x v="3"/>
    <x v="9"/>
    <x v="1"/>
  </r>
  <r>
    <s v="TX501751"/>
    <x v="0"/>
    <x v="3"/>
    <n v="16.8"/>
    <x v="557"/>
    <x v="63"/>
    <d v="2025-03-08T00:00:00"/>
    <x v="1"/>
    <x v="2"/>
    <x v="1"/>
    <x v="0"/>
    <x v="8"/>
    <x v="2"/>
    <x v="9"/>
    <x v="1"/>
  </r>
  <r>
    <s v="TX501752"/>
    <x v="2"/>
    <x v="2"/>
    <n v="63.2"/>
    <x v="1385"/>
    <x v="63"/>
    <d v="2025-03-06T00:00:00"/>
    <x v="2"/>
    <x v="0"/>
    <x v="2"/>
    <x v="0"/>
    <x v="8"/>
    <x v="3"/>
    <x v="9"/>
    <x v="2"/>
  </r>
  <r>
    <s v="TX501753"/>
    <x v="14"/>
    <x v="44"/>
    <n v="39.700000000000003"/>
    <x v="1386"/>
    <x v="63"/>
    <d v="2025-03-06T00:00:00"/>
    <x v="1"/>
    <x v="0"/>
    <x v="0"/>
    <x v="0"/>
    <x v="8"/>
    <x v="3"/>
    <x v="9"/>
    <x v="1"/>
  </r>
  <r>
    <s v="TX501754"/>
    <x v="10"/>
    <x v="2"/>
    <n v="45.8"/>
    <x v="1387"/>
    <x v="63"/>
    <d v="2025-03-06T00:00:00"/>
    <x v="2"/>
    <x v="1"/>
    <x v="2"/>
    <x v="0"/>
    <x v="8"/>
    <x v="3"/>
    <x v="9"/>
    <x v="2"/>
  </r>
  <r>
    <s v="TX501755"/>
    <x v="0"/>
    <x v="13"/>
    <n v="12.4"/>
    <x v="610"/>
    <x v="63"/>
    <d v="2025-03-08T00:00:00"/>
    <x v="1"/>
    <x v="0"/>
    <x v="0"/>
    <x v="0"/>
    <x v="8"/>
    <x v="2"/>
    <x v="9"/>
    <x v="1"/>
  </r>
  <r>
    <s v="TX501756"/>
    <x v="14"/>
    <x v="2"/>
    <n v="50.8"/>
    <x v="1388"/>
    <x v="64"/>
    <d v="2025-03-06T00:00:00"/>
    <x v="2"/>
    <x v="4"/>
    <x v="0"/>
    <x v="0"/>
    <x v="17"/>
    <x v="7"/>
    <x v="9"/>
    <x v="2"/>
  </r>
  <r>
    <s v="TX501757"/>
    <x v="9"/>
    <x v="0"/>
    <n v="76"/>
    <x v="998"/>
    <x v="64"/>
    <d v="2025-03-10T00:00:00"/>
    <x v="3"/>
    <x v="2"/>
    <x v="2"/>
    <x v="0"/>
    <x v="17"/>
    <x v="5"/>
    <x v="9"/>
    <x v="3"/>
  </r>
  <r>
    <s v="TX501758"/>
    <x v="1"/>
    <x v="1"/>
    <n v="51.9"/>
    <x v="1389"/>
    <x v="64"/>
    <d v="2025-03-07T00:00:00"/>
    <x v="1"/>
    <x v="1"/>
    <x v="2"/>
    <x v="0"/>
    <x v="26"/>
    <x v="3"/>
    <x v="9"/>
    <x v="1"/>
  </r>
  <r>
    <s v="TX501759"/>
    <x v="2"/>
    <x v="1"/>
    <n v="93.4"/>
    <x v="1390"/>
    <x v="64"/>
    <d v="2025-03-13T00:00:00"/>
    <x v="1"/>
    <x v="0"/>
    <x v="3"/>
    <x v="0"/>
    <x v="11"/>
    <x v="6"/>
    <x v="9"/>
    <x v="1"/>
  </r>
  <r>
    <s v="TX501760"/>
    <x v="7"/>
    <x v="13"/>
    <n v="30.8"/>
    <x v="827"/>
    <x v="64"/>
    <d v="2025-03-09T00:00:00"/>
    <x v="2"/>
    <x v="1"/>
    <x v="0"/>
    <x v="0"/>
    <x v="11"/>
    <x v="2"/>
    <x v="9"/>
    <x v="2"/>
  </r>
  <r>
    <s v="TX501761"/>
    <x v="2"/>
    <x v="0"/>
    <n v="143.19999999999999"/>
    <x v="1391"/>
    <x v="64"/>
    <d v="2025-03-09T00:00:00"/>
    <x v="1"/>
    <x v="2"/>
    <x v="0"/>
    <x v="0"/>
    <x v="11"/>
    <x v="2"/>
    <x v="9"/>
    <x v="1"/>
  </r>
  <r>
    <s v="TX501762"/>
    <x v="6"/>
    <x v="5"/>
    <n v="40.4"/>
    <x v="1392"/>
    <x v="64"/>
    <d v="2025-03-08T00:00:00"/>
    <x v="1"/>
    <x v="2"/>
    <x v="2"/>
    <x v="0"/>
    <x v="18"/>
    <x v="1"/>
    <x v="9"/>
    <x v="1"/>
  </r>
  <r>
    <s v="TX501763"/>
    <x v="2"/>
    <x v="10"/>
    <n v="131.5"/>
    <x v="1393"/>
    <x v="64"/>
    <d v="2025-03-08T00:00:00"/>
    <x v="1"/>
    <x v="1"/>
    <x v="1"/>
    <x v="0"/>
    <x v="18"/>
    <x v="1"/>
    <x v="9"/>
    <x v="1"/>
  </r>
  <r>
    <s v="TX501764"/>
    <x v="18"/>
    <x v="3"/>
    <n v="61.6"/>
    <x v="348"/>
    <x v="64"/>
    <d v="2025-03-07T00:00:00"/>
    <x v="1"/>
    <x v="2"/>
    <x v="0"/>
    <x v="0"/>
    <x v="21"/>
    <x v="3"/>
    <x v="9"/>
    <x v="1"/>
  </r>
  <r>
    <s v="TX501765"/>
    <x v="9"/>
    <x v="9"/>
    <n v="32.700000000000003"/>
    <x v="838"/>
    <x v="64"/>
    <d v="2025-03-08T00:00:00"/>
    <x v="1"/>
    <x v="2"/>
    <x v="0"/>
    <x v="0"/>
    <x v="1"/>
    <x v="1"/>
    <x v="9"/>
    <x v="1"/>
  </r>
  <r>
    <s v="TX501766"/>
    <x v="0"/>
    <x v="7"/>
    <n v="13.7"/>
    <x v="383"/>
    <x v="64"/>
    <d v="2025-03-07T00:00:00"/>
    <x v="1"/>
    <x v="0"/>
    <x v="2"/>
    <x v="0"/>
    <x v="3"/>
    <x v="3"/>
    <x v="9"/>
    <x v="1"/>
  </r>
  <r>
    <s v="TX501767"/>
    <x v="0"/>
    <x v="12"/>
    <n v="32.1"/>
    <x v="58"/>
    <x v="64"/>
    <d v="2025-03-07T00:00:00"/>
    <x v="1"/>
    <x v="4"/>
    <x v="1"/>
    <x v="0"/>
    <x v="3"/>
    <x v="3"/>
    <x v="9"/>
    <x v="1"/>
  </r>
  <r>
    <s v="TX501768"/>
    <x v="14"/>
    <x v="8"/>
    <n v="12"/>
    <x v="854"/>
    <x v="64"/>
    <d v="2025-03-07T00:00:00"/>
    <x v="1"/>
    <x v="1"/>
    <x v="0"/>
    <x v="0"/>
    <x v="24"/>
    <x v="3"/>
    <x v="9"/>
    <x v="1"/>
  </r>
  <r>
    <s v="TX501769"/>
    <x v="12"/>
    <x v="0"/>
    <n v="64.3"/>
    <x v="1394"/>
    <x v="64"/>
    <d v="2025-03-08T00:00:00"/>
    <x v="2"/>
    <x v="2"/>
    <x v="2"/>
    <x v="0"/>
    <x v="6"/>
    <x v="1"/>
    <x v="9"/>
    <x v="2"/>
  </r>
  <r>
    <s v="TX501770"/>
    <x v="1"/>
    <x v="2"/>
    <n v="58.2"/>
    <x v="1395"/>
    <x v="64"/>
    <d v="2025-03-08T00:00:00"/>
    <x v="2"/>
    <x v="1"/>
    <x v="2"/>
    <x v="0"/>
    <x v="6"/>
    <x v="1"/>
    <x v="9"/>
    <x v="2"/>
  </r>
  <r>
    <s v="TX501771"/>
    <x v="6"/>
    <x v="12"/>
    <n v="59.2"/>
    <x v="1396"/>
    <x v="64"/>
    <d v="2025-03-06T00:00:00"/>
    <x v="1"/>
    <x v="1"/>
    <x v="2"/>
    <x v="0"/>
    <x v="6"/>
    <x v="7"/>
    <x v="9"/>
    <x v="1"/>
  </r>
  <r>
    <s v="TX501772"/>
    <x v="10"/>
    <x v="5"/>
    <n v="35.6"/>
    <x v="590"/>
    <x v="64"/>
    <d v="2025-03-13T00:00:00"/>
    <x v="1"/>
    <x v="0"/>
    <x v="2"/>
    <x v="0"/>
    <x v="8"/>
    <x v="6"/>
    <x v="9"/>
    <x v="1"/>
  </r>
  <r>
    <s v="TX501773"/>
    <x v="16"/>
    <x v="8"/>
    <n v="37"/>
    <x v="1397"/>
    <x v="64"/>
    <d v="2025-03-10T00:00:00"/>
    <x v="2"/>
    <x v="2"/>
    <x v="1"/>
    <x v="0"/>
    <x v="8"/>
    <x v="5"/>
    <x v="9"/>
    <x v="2"/>
  </r>
  <r>
    <s v="TX501774"/>
    <x v="1"/>
    <x v="15"/>
    <n v="80.8"/>
    <x v="1398"/>
    <x v="64"/>
    <d v="2025-03-08T00:00:00"/>
    <x v="2"/>
    <x v="0"/>
    <x v="0"/>
    <x v="0"/>
    <x v="8"/>
    <x v="1"/>
    <x v="9"/>
    <x v="2"/>
  </r>
  <r>
    <s v="TX501775"/>
    <x v="8"/>
    <x v="1"/>
    <n v="63.2"/>
    <x v="628"/>
    <x v="64"/>
    <d v="2025-03-07T00:00:00"/>
    <x v="1"/>
    <x v="0"/>
    <x v="1"/>
    <x v="0"/>
    <x v="8"/>
    <x v="3"/>
    <x v="9"/>
    <x v="1"/>
  </r>
  <r>
    <s v="TX501776"/>
    <x v="3"/>
    <x v="1"/>
    <n v="40.799999999999997"/>
    <x v="330"/>
    <x v="64"/>
    <d v="2025-03-08T00:00:00"/>
    <x v="1"/>
    <x v="0"/>
    <x v="1"/>
    <x v="0"/>
    <x v="17"/>
    <x v="1"/>
    <x v="9"/>
    <x v="1"/>
  </r>
  <r>
    <s v="TX501777"/>
    <x v="13"/>
    <x v="13"/>
    <n v="25.7"/>
    <x v="1399"/>
    <x v="64"/>
    <d v="2025-03-08T00:00:00"/>
    <x v="1"/>
    <x v="4"/>
    <x v="0"/>
    <x v="0"/>
    <x v="18"/>
    <x v="1"/>
    <x v="9"/>
    <x v="1"/>
  </r>
  <r>
    <s v="TX501778"/>
    <x v="16"/>
    <x v="1"/>
    <n v="49.9"/>
    <x v="350"/>
    <x v="64"/>
    <d v="2025-03-09T00:00:00"/>
    <x v="1"/>
    <x v="0"/>
    <x v="0"/>
    <x v="0"/>
    <x v="20"/>
    <x v="2"/>
    <x v="9"/>
    <x v="1"/>
  </r>
  <r>
    <s v="TX501779"/>
    <x v="8"/>
    <x v="1"/>
    <n v="20.2"/>
    <x v="1400"/>
    <x v="64"/>
    <d v="2025-03-08T00:00:00"/>
    <x v="2"/>
    <x v="3"/>
    <x v="0"/>
    <x v="0"/>
    <x v="21"/>
    <x v="1"/>
    <x v="9"/>
    <x v="2"/>
  </r>
  <r>
    <s v="TX501780"/>
    <x v="6"/>
    <x v="2"/>
    <n v="48.4"/>
    <x v="1401"/>
    <x v="64"/>
    <d v="2025-03-11T00:00:00"/>
    <x v="2"/>
    <x v="0"/>
    <x v="2"/>
    <x v="0"/>
    <x v="21"/>
    <x v="0"/>
    <x v="9"/>
    <x v="2"/>
  </r>
  <r>
    <s v="TX501781"/>
    <x v="6"/>
    <x v="1"/>
    <n v="81"/>
    <x v="915"/>
    <x v="64"/>
    <d v="2025-03-07T00:00:00"/>
    <x v="2"/>
    <x v="1"/>
    <x v="2"/>
    <x v="0"/>
    <x v="21"/>
    <x v="3"/>
    <x v="9"/>
    <x v="2"/>
  </r>
  <r>
    <s v="TX501782"/>
    <x v="8"/>
    <x v="13"/>
    <n v="19.899999999999999"/>
    <x v="1402"/>
    <x v="64"/>
    <d v="2025-03-09T00:00:00"/>
    <x v="2"/>
    <x v="0"/>
    <x v="1"/>
    <x v="0"/>
    <x v="22"/>
    <x v="2"/>
    <x v="9"/>
    <x v="2"/>
  </r>
  <r>
    <s v="TX501783"/>
    <x v="4"/>
    <x v="12"/>
    <n v="32.200000000000003"/>
    <x v="1403"/>
    <x v="64"/>
    <d v="2025-03-16T00:00:00"/>
    <x v="1"/>
    <x v="0"/>
    <x v="0"/>
    <x v="0"/>
    <x v="22"/>
    <x v="14"/>
    <x v="9"/>
    <x v="1"/>
  </r>
  <r>
    <s v="TX501784"/>
    <x v="5"/>
    <x v="2"/>
    <n v="76.8"/>
    <x v="1404"/>
    <x v="64"/>
    <d v="2025-03-07T00:00:00"/>
    <x v="2"/>
    <x v="0"/>
    <x v="1"/>
    <x v="0"/>
    <x v="3"/>
    <x v="3"/>
    <x v="9"/>
    <x v="2"/>
  </r>
  <r>
    <s v="TX501785"/>
    <x v="6"/>
    <x v="1"/>
    <n v="41.9"/>
    <x v="1405"/>
    <x v="64"/>
    <d v="2025-03-08T00:00:00"/>
    <x v="2"/>
    <x v="0"/>
    <x v="0"/>
    <x v="0"/>
    <x v="3"/>
    <x v="1"/>
    <x v="9"/>
    <x v="2"/>
  </r>
  <r>
    <s v="TX501786"/>
    <x v="0"/>
    <x v="3"/>
    <n v="34"/>
    <x v="1248"/>
    <x v="64"/>
    <d v="2025-03-08T00:00:00"/>
    <x v="2"/>
    <x v="1"/>
    <x v="2"/>
    <x v="0"/>
    <x v="3"/>
    <x v="1"/>
    <x v="9"/>
    <x v="2"/>
  </r>
  <r>
    <s v="TX501787"/>
    <x v="7"/>
    <x v="3"/>
    <n v="61.3"/>
    <x v="1406"/>
    <x v="64"/>
    <d v="2025-03-06T00:00:00"/>
    <x v="2"/>
    <x v="4"/>
    <x v="2"/>
    <x v="0"/>
    <x v="3"/>
    <x v="7"/>
    <x v="9"/>
    <x v="2"/>
  </r>
  <r>
    <s v="TX501788"/>
    <x v="9"/>
    <x v="0"/>
    <n v="54.7"/>
    <x v="1407"/>
    <x v="65"/>
    <d v="2025-03-08T00:00:00"/>
    <x v="1"/>
    <x v="0"/>
    <x v="1"/>
    <x v="0"/>
    <x v="3"/>
    <x v="3"/>
    <x v="9"/>
    <x v="1"/>
  </r>
  <r>
    <s v="TX501789"/>
    <x v="6"/>
    <x v="7"/>
    <n v="84.7"/>
    <x v="1408"/>
    <x v="65"/>
    <d v="2025-03-11T00:00:00"/>
    <x v="2"/>
    <x v="0"/>
    <x v="0"/>
    <x v="0"/>
    <x v="3"/>
    <x v="5"/>
    <x v="9"/>
    <x v="2"/>
  </r>
  <r>
    <s v="TX501790"/>
    <x v="1"/>
    <x v="2"/>
    <n v="93.4"/>
    <x v="1409"/>
    <x v="65"/>
    <d v="2025-03-11T00:00:00"/>
    <x v="2"/>
    <x v="3"/>
    <x v="0"/>
    <x v="0"/>
    <x v="3"/>
    <x v="5"/>
    <x v="9"/>
    <x v="2"/>
  </r>
  <r>
    <s v="TX501791"/>
    <x v="8"/>
    <x v="9"/>
    <n v="27"/>
    <x v="340"/>
    <x v="65"/>
    <d v="2025-03-10T00:00:00"/>
    <x v="1"/>
    <x v="0"/>
    <x v="1"/>
    <x v="0"/>
    <x v="3"/>
    <x v="2"/>
    <x v="9"/>
    <x v="1"/>
  </r>
  <r>
    <s v="TX501792"/>
    <x v="0"/>
    <x v="12"/>
    <n v="10.9"/>
    <x v="1195"/>
    <x v="65"/>
    <d v="2025-03-08T00:00:00"/>
    <x v="1"/>
    <x v="2"/>
    <x v="0"/>
    <x v="0"/>
    <x v="3"/>
    <x v="3"/>
    <x v="9"/>
    <x v="1"/>
  </r>
  <r>
    <s v="TX501793"/>
    <x v="16"/>
    <x v="2"/>
    <n v="48"/>
    <x v="1410"/>
    <x v="65"/>
    <d v="2025-03-12T00:00:00"/>
    <x v="2"/>
    <x v="4"/>
    <x v="0"/>
    <x v="0"/>
    <x v="3"/>
    <x v="0"/>
    <x v="9"/>
    <x v="2"/>
  </r>
  <r>
    <s v="TX501794"/>
    <x v="5"/>
    <x v="1"/>
    <n v="67.900000000000006"/>
    <x v="1411"/>
    <x v="65"/>
    <d v="2025-03-08T00:00:00"/>
    <x v="1"/>
    <x v="0"/>
    <x v="2"/>
    <x v="0"/>
    <x v="23"/>
    <x v="3"/>
    <x v="9"/>
    <x v="1"/>
  </r>
  <r>
    <s v="TX501795"/>
    <x v="4"/>
    <x v="2"/>
    <n v="36"/>
    <x v="807"/>
    <x v="65"/>
    <d v="2025-03-08T00:00:00"/>
    <x v="1"/>
    <x v="1"/>
    <x v="0"/>
    <x v="0"/>
    <x v="6"/>
    <x v="3"/>
    <x v="9"/>
    <x v="1"/>
  </r>
  <r>
    <s v="TX501796"/>
    <x v="2"/>
    <x v="0"/>
    <n v="128.80000000000001"/>
    <x v="1403"/>
    <x v="65"/>
    <d v="2025-03-08T00:00:00"/>
    <x v="1"/>
    <x v="4"/>
    <x v="2"/>
    <x v="0"/>
    <x v="6"/>
    <x v="3"/>
    <x v="9"/>
    <x v="1"/>
  </r>
  <r>
    <s v="TX501797"/>
    <x v="18"/>
    <x v="3"/>
    <n v="33.299999999999997"/>
    <x v="1412"/>
    <x v="65"/>
    <d v="2025-03-08T00:00:00"/>
    <x v="2"/>
    <x v="3"/>
    <x v="0"/>
    <x v="0"/>
    <x v="8"/>
    <x v="3"/>
    <x v="9"/>
    <x v="2"/>
  </r>
  <r>
    <s v="TX501798"/>
    <x v="10"/>
    <x v="2"/>
    <n v="37.799999999999997"/>
    <x v="1413"/>
    <x v="65"/>
    <d v="2025-03-09T00:00:00"/>
    <x v="1"/>
    <x v="1"/>
    <x v="2"/>
    <x v="0"/>
    <x v="8"/>
    <x v="1"/>
    <x v="9"/>
    <x v="1"/>
  </r>
  <r>
    <s v="TX501799"/>
    <x v="5"/>
    <x v="2"/>
    <n v="26"/>
    <x v="292"/>
    <x v="65"/>
    <d v="2025-03-12T00:00:00"/>
    <x v="2"/>
    <x v="0"/>
    <x v="0"/>
    <x v="0"/>
    <x v="8"/>
    <x v="0"/>
    <x v="9"/>
    <x v="2"/>
  </r>
  <r>
    <s v="TX501800"/>
    <x v="8"/>
    <x v="10"/>
    <n v="28.3"/>
    <x v="1414"/>
    <x v="65"/>
    <d v="2025-03-08T00:00:00"/>
    <x v="2"/>
    <x v="3"/>
    <x v="4"/>
    <x v="0"/>
    <x v="8"/>
    <x v="3"/>
    <x v="9"/>
    <x v="2"/>
  </r>
  <r>
    <s v="TX501801"/>
    <x v="8"/>
    <x v="12"/>
    <n v="31.3"/>
    <x v="1415"/>
    <x v="65"/>
    <d v="2025-03-07T00:00:00"/>
    <x v="2"/>
    <x v="0"/>
    <x v="0"/>
    <x v="0"/>
    <x v="8"/>
    <x v="7"/>
    <x v="9"/>
    <x v="2"/>
  </r>
  <r>
    <s v="TX501802"/>
    <x v="7"/>
    <x v="2"/>
    <n v="69.5"/>
    <x v="1416"/>
    <x v="65"/>
    <d v="2025-03-08T00:00:00"/>
    <x v="2"/>
    <x v="3"/>
    <x v="2"/>
    <x v="0"/>
    <x v="8"/>
    <x v="3"/>
    <x v="9"/>
    <x v="2"/>
  </r>
  <r>
    <s v="TX501803"/>
    <x v="0"/>
    <x v="1"/>
    <n v="16.7"/>
    <x v="1417"/>
    <x v="65"/>
    <d v="2025-03-08T00:00:00"/>
    <x v="2"/>
    <x v="3"/>
    <x v="1"/>
    <x v="0"/>
    <x v="8"/>
    <x v="3"/>
    <x v="9"/>
    <x v="2"/>
  </r>
  <r>
    <s v="TX501804"/>
    <x v="9"/>
    <x v="1"/>
    <n v="62.6"/>
    <x v="1415"/>
    <x v="65"/>
    <d v="2025-03-08T00:00:00"/>
    <x v="1"/>
    <x v="2"/>
    <x v="2"/>
    <x v="0"/>
    <x v="9"/>
    <x v="3"/>
    <x v="9"/>
    <x v="1"/>
  </r>
  <r>
    <s v="TX501805"/>
    <x v="7"/>
    <x v="0"/>
    <n v="81.2"/>
    <x v="1101"/>
    <x v="65"/>
    <d v="2025-03-13T00:00:00"/>
    <x v="1"/>
    <x v="4"/>
    <x v="4"/>
    <x v="0"/>
    <x v="9"/>
    <x v="4"/>
    <x v="9"/>
    <x v="1"/>
  </r>
  <r>
    <s v="TX501806"/>
    <x v="0"/>
    <x v="7"/>
    <n v="12.7"/>
    <x v="520"/>
    <x v="65"/>
    <d v="2025-03-08T00:00:00"/>
    <x v="2"/>
    <x v="0"/>
    <x v="2"/>
    <x v="0"/>
    <x v="9"/>
    <x v="3"/>
    <x v="9"/>
    <x v="2"/>
  </r>
  <r>
    <s v="TX501807"/>
    <x v="7"/>
    <x v="12"/>
    <n v="77.7"/>
    <x v="1418"/>
    <x v="66"/>
    <d v="2025-03-12T00:00:00"/>
    <x v="1"/>
    <x v="1"/>
    <x v="0"/>
    <x v="0"/>
    <x v="11"/>
    <x v="5"/>
    <x v="9"/>
    <x v="1"/>
  </r>
  <r>
    <s v="TX501808"/>
    <x v="5"/>
    <x v="1"/>
    <n v="37.299999999999997"/>
    <x v="110"/>
    <x v="66"/>
    <d v="2025-03-09T00:00:00"/>
    <x v="2"/>
    <x v="0"/>
    <x v="2"/>
    <x v="0"/>
    <x v="18"/>
    <x v="3"/>
    <x v="9"/>
    <x v="2"/>
  </r>
  <r>
    <s v="TX501809"/>
    <x v="10"/>
    <x v="12"/>
    <n v="35.6"/>
    <x v="1419"/>
    <x v="66"/>
    <d v="2025-03-10T00:00:00"/>
    <x v="2"/>
    <x v="1"/>
    <x v="1"/>
    <x v="0"/>
    <x v="19"/>
    <x v="1"/>
    <x v="9"/>
    <x v="2"/>
  </r>
  <r>
    <s v="TX501810"/>
    <x v="2"/>
    <x v="2"/>
    <n v="95"/>
    <x v="1420"/>
    <x v="66"/>
    <d v="2025-03-12T00:00:00"/>
    <x v="2"/>
    <x v="2"/>
    <x v="2"/>
    <x v="0"/>
    <x v="56"/>
    <x v="5"/>
    <x v="9"/>
    <x v="2"/>
  </r>
  <r>
    <s v="TX501811"/>
    <x v="2"/>
    <x v="12"/>
    <n v="172.1"/>
    <x v="1421"/>
    <x v="66"/>
    <d v="2025-03-12T00:00:00"/>
    <x v="3"/>
    <x v="2"/>
    <x v="2"/>
    <x v="0"/>
    <x v="21"/>
    <x v="5"/>
    <x v="9"/>
    <x v="3"/>
  </r>
  <r>
    <s v="TX501812"/>
    <x v="2"/>
    <x v="1"/>
    <n v="233"/>
    <x v="1147"/>
    <x v="66"/>
    <d v="2025-03-11T00:00:00"/>
    <x v="2"/>
    <x v="1"/>
    <x v="0"/>
    <x v="0"/>
    <x v="21"/>
    <x v="2"/>
    <x v="9"/>
    <x v="2"/>
  </r>
  <r>
    <s v="TX501813"/>
    <x v="0"/>
    <x v="0"/>
    <n v="43.5"/>
    <x v="1422"/>
    <x v="66"/>
    <d v="2025-03-09T00:00:00"/>
    <x v="2"/>
    <x v="2"/>
    <x v="2"/>
    <x v="0"/>
    <x v="21"/>
    <x v="3"/>
    <x v="9"/>
    <x v="2"/>
  </r>
  <r>
    <s v="TX501814"/>
    <x v="9"/>
    <x v="1"/>
    <n v="47.8"/>
    <x v="139"/>
    <x v="66"/>
    <d v="2025-03-11T00:00:00"/>
    <x v="1"/>
    <x v="4"/>
    <x v="2"/>
    <x v="0"/>
    <x v="1"/>
    <x v="2"/>
    <x v="9"/>
    <x v="1"/>
  </r>
  <r>
    <s v="TX501815"/>
    <x v="12"/>
    <x v="1"/>
    <n v="65.8"/>
    <x v="1423"/>
    <x v="66"/>
    <d v="2025-03-10T00:00:00"/>
    <x v="2"/>
    <x v="0"/>
    <x v="3"/>
    <x v="0"/>
    <x v="33"/>
    <x v="1"/>
    <x v="9"/>
    <x v="2"/>
  </r>
  <r>
    <s v="TX501816"/>
    <x v="15"/>
    <x v="5"/>
    <n v="38.700000000000003"/>
    <x v="1424"/>
    <x v="66"/>
    <d v="2025-03-08T00:00:00"/>
    <x v="1"/>
    <x v="0"/>
    <x v="0"/>
    <x v="0"/>
    <x v="22"/>
    <x v="7"/>
    <x v="9"/>
    <x v="1"/>
  </r>
  <r>
    <s v="TX501817"/>
    <x v="3"/>
    <x v="12"/>
    <n v="55.7"/>
    <x v="839"/>
    <x v="66"/>
    <d v="2025-03-10T00:00:00"/>
    <x v="3"/>
    <x v="0"/>
    <x v="1"/>
    <x v="0"/>
    <x v="22"/>
    <x v="1"/>
    <x v="9"/>
    <x v="3"/>
  </r>
  <r>
    <s v="TX501818"/>
    <x v="7"/>
    <x v="1"/>
    <n v="102.4"/>
    <x v="403"/>
    <x v="66"/>
    <d v="2025-03-08T00:00:00"/>
    <x v="2"/>
    <x v="1"/>
    <x v="0"/>
    <x v="0"/>
    <x v="3"/>
    <x v="7"/>
    <x v="9"/>
    <x v="2"/>
  </r>
  <r>
    <s v="TX501819"/>
    <x v="1"/>
    <x v="0"/>
    <n v="92"/>
    <x v="988"/>
    <x v="66"/>
    <d v="2025-03-12T00:00:00"/>
    <x v="0"/>
    <x v="2"/>
    <x v="0"/>
    <x v="0"/>
    <x v="3"/>
    <x v="5"/>
    <x v="9"/>
    <x v="0"/>
  </r>
  <r>
    <s v="TX501820"/>
    <x v="6"/>
    <x v="12"/>
    <n v="75.900000000000006"/>
    <x v="80"/>
    <x v="66"/>
    <d v="2025-03-10T00:00:00"/>
    <x v="2"/>
    <x v="1"/>
    <x v="0"/>
    <x v="0"/>
    <x v="3"/>
    <x v="1"/>
    <x v="9"/>
    <x v="2"/>
  </r>
  <r>
    <s v="TX501821"/>
    <x v="1"/>
    <x v="12"/>
    <n v="36.200000000000003"/>
    <x v="353"/>
    <x v="66"/>
    <d v="2025-03-09T00:00:00"/>
    <x v="2"/>
    <x v="1"/>
    <x v="0"/>
    <x v="0"/>
    <x v="3"/>
    <x v="3"/>
    <x v="9"/>
    <x v="2"/>
  </r>
  <r>
    <s v="TX501822"/>
    <x v="6"/>
    <x v="45"/>
    <n v="83.5"/>
    <x v="1425"/>
    <x v="66"/>
    <d v="2025-03-10T00:00:00"/>
    <x v="0"/>
    <x v="3"/>
    <x v="0"/>
    <x v="0"/>
    <x v="3"/>
    <x v="1"/>
    <x v="9"/>
    <x v="0"/>
  </r>
  <r>
    <s v="TX501823"/>
    <x v="19"/>
    <x v="4"/>
    <n v="52.4"/>
    <x v="1092"/>
    <x v="66"/>
    <d v="2025-03-08T00:00:00"/>
    <x v="1"/>
    <x v="2"/>
    <x v="0"/>
    <x v="0"/>
    <x v="3"/>
    <x v="7"/>
    <x v="9"/>
    <x v="1"/>
  </r>
  <r>
    <s v="TX501824"/>
    <x v="12"/>
    <x v="2"/>
    <n v="69.5"/>
    <x v="1416"/>
    <x v="66"/>
    <d v="2025-03-09T00:00:00"/>
    <x v="3"/>
    <x v="4"/>
    <x v="0"/>
    <x v="0"/>
    <x v="3"/>
    <x v="3"/>
    <x v="9"/>
    <x v="3"/>
  </r>
  <r>
    <s v="TX501825"/>
    <x v="0"/>
    <x v="0"/>
    <n v="15.5"/>
    <x v="1426"/>
    <x v="66"/>
    <d v="2025-03-10T00:00:00"/>
    <x v="1"/>
    <x v="0"/>
    <x v="0"/>
    <x v="0"/>
    <x v="3"/>
    <x v="1"/>
    <x v="9"/>
    <x v="1"/>
  </r>
  <r>
    <s v="TX501826"/>
    <x v="4"/>
    <x v="12"/>
    <n v="35.200000000000003"/>
    <x v="1427"/>
    <x v="66"/>
    <d v="2025-03-09T00:00:00"/>
    <x v="2"/>
    <x v="2"/>
    <x v="2"/>
    <x v="0"/>
    <x v="3"/>
    <x v="3"/>
    <x v="9"/>
    <x v="2"/>
  </r>
  <r>
    <s v="TX501827"/>
    <x v="8"/>
    <x v="13"/>
    <n v="34.6"/>
    <x v="1428"/>
    <x v="66"/>
    <d v="2025-03-09T00:00:00"/>
    <x v="0"/>
    <x v="0"/>
    <x v="1"/>
    <x v="0"/>
    <x v="3"/>
    <x v="3"/>
    <x v="9"/>
    <x v="0"/>
  </r>
  <r>
    <s v="TX501828"/>
    <x v="4"/>
    <x v="0"/>
    <n v="21.3"/>
    <x v="1429"/>
    <x v="67"/>
    <d v="2025-03-10T00:00:00"/>
    <x v="1"/>
    <x v="2"/>
    <x v="1"/>
    <x v="0"/>
    <x v="3"/>
    <x v="3"/>
    <x v="10"/>
    <x v="1"/>
  </r>
  <r>
    <s v="TX501829"/>
    <x v="6"/>
    <x v="1"/>
    <n v="136.5"/>
    <x v="1430"/>
    <x v="67"/>
    <d v="2025-03-15T00:00:00"/>
    <x v="2"/>
    <x v="0"/>
    <x v="0"/>
    <x v="0"/>
    <x v="37"/>
    <x v="4"/>
    <x v="10"/>
    <x v="2"/>
  </r>
  <r>
    <s v="TX501830"/>
    <x v="9"/>
    <x v="3"/>
    <n v="30.7"/>
    <x v="1431"/>
    <x v="67"/>
    <d v="2025-03-10T00:00:00"/>
    <x v="1"/>
    <x v="2"/>
    <x v="2"/>
    <x v="0"/>
    <x v="25"/>
    <x v="3"/>
    <x v="10"/>
    <x v="1"/>
  </r>
  <r>
    <s v="TX501831"/>
    <x v="1"/>
    <x v="1"/>
    <n v="61.6"/>
    <x v="1432"/>
    <x v="67"/>
    <d v="2025-03-10T00:00:00"/>
    <x v="2"/>
    <x v="2"/>
    <x v="2"/>
    <x v="0"/>
    <x v="23"/>
    <x v="3"/>
    <x v="10"/>
    <x v="2"/>
  </r>
  <r>
    <s v="TX501832"/>
    <x v="6"/>
    <x v="12"/>
    <n v="54.3"/>
    <x v="1433"/>
    <x v="67"/>
    <d v="2025-03-11T00:00:00"/>
    <x v="0"/>
    <x v="4"/>
    <x v="0"/>
    <x v="0"/>
    <x v="7"/>
    <x v="1"/>
    <x v="10"/>
    <x v="0"/>
  </r>
  <r>
    <s v="TX501833"/>
    <x v="1"/>
    <x v="1"/>
    <n v="44.1"/>
    <x v="1047"/>
    <x v="67"/>
    <d v="2025-03-21T00:00:00"/>
    <x v="2"/>
    <x v="0"/>
    <x v="2"/>
    <x v="0"/>
    <x v="8"/>
    <x v="13"/>
    <x v="10"/>
    <x v="2"/>
  </r>
  <r>
    <s v="TX501834"/>
    <x v="8"/>
    <x v="12"/>
    <n v="43.5"/>
    <x v="1434"/>
    <x v="67"/>
    <d v="2025-03-15T00:00:00"/>
    <x v="1"/>
    <x v="3"/>
    <x v="0"/>
    <x v="0"/>
    <x v="8"/>
    <x v="4"/>
    <x v="10"/>
    <x v="1"/>
  </r>
  <r>
    <s v="TX501835"/>
    <x v="8"/>
    <x v="2"/>
    <n v="48.2"/>
    <x v="1435"/>
    <x v="67"/>
    <d v="2025-03-13T00:00:00"/>
    <x v="1"/>
    <x v="3"/>
    <x v="1"/>
    <x v="0"/>
    <x v="8"/>
    <x v="5"/>
    <x v="10"/>
    <x v="1"/>
  </r>
  <r>
    <s v="TX501836"/>
    <x v="19"/>
    <x v="0"/>
    <n v="13.7"/>
    <x v="1436"/>
    <x v="67"/>
    <d v="2025-03-10T00:00:00"/>
    <x v="2"/>
    <x v="2"/>
    <x v="2"/>
    <x v="0"/>
    <x v="8"/>
    <x v="3"/>
    <x v="10"/>
    <x v="2"/>
  </r>
  <r>
    <s v="TX501837"/>
    <x v="2"/>
    <x v="1"/>
    <n v="110.5"/>
    <x v="1437"/>
    <x v="67"/>
    <d v="2025-03-10T00:00:00"/>
    <x v="2"/>
    <x v="0"/>
    <x v="1"/>
    <x v="0"/>
    <x v="8"/>
    <x v="3"/>
    <x v="10"/>
    <x v="2"/>
  </r>
  <r>
    <s v="TX501838"/>
    <x v="8"/>
    <x v="2"/>
    <n v="26"/>
    <x v="292"/>
    <x v="67"/>
    <d v="2025-03-14T00:00:00"/>
    <x v="2"/>
    <x v="1"/>
    <x v="1"/>
    <x v="0"/>
    <x v="8"/>
    <x v="0"/>
    <x v="10"/>
    <x v="2"/>
  </r>
  <r>
    <s v="TX501839"/>
    <x v="2"/>
    <x v="7"/>
    <n v="140.69999999999999"/>
    <x v="1438"/>
    <x v="67"/>
    <d v="2025-03-15T00:00:00"/>
    <x v="1"/>
    <x v="3"/>
    <x v="1"/>
    <x v="0"/>
    <x v="8"/>
    <x v="4"/>
    <x v="10"/>
    <x v="1"/>
  </r>
  <r>
    <s v="TX501840"/>
    <x v="17"/>
    <x v="1"/>
    <n v="41.7"/>
    <x v="925"/>
    <x v="67"/>
    <d v="2025-03-17T00:00:00"/>
    <x v="2"/>
    <x v="0"/>
    <x v="4"/>
    <x v="0"/>
    <x v="8"/>
    <x v="9"/>
    <x v="10"/>
    <x v="2"/>
  </r>
  <r>
    <s v="TX501841"/>
    <x v="2"/>
    <x v="1"/>
    <n v="135.1"/>
    <x v="1439"/>
    <x v="67"/>
    <d v="2025-03-10T00:00:00"/>
    <x v="1"/>
    <x v="0"/>
    <x v="2"/>
    <x v="0"/>
    <x v="17"/>
    <x v="3"/>
    <x v="10"/>
    <x v="1"/>
  </r>
  <r>
    <s v="TX501842"/>
    <x v="12"/>
    <x v="32"/>
    <n v="95.5"/>
    <x v="1440"/>
    <x v="67"/>
    <d v="2025-03-10T00:00:00"/>
    <x v="2"/>
    <x v="4"/>
    <x v="4"/>
    <x v="0"/>
    <x v="26"/>
    <x v="3"/>
    <x v="10"/>
    <x v="2"/>
  </r>
  <r>
    <s v="TX501843"/>
    <x v="15"/>
    <x v="0"/>
    <n v="25.5"/>
    <x v="1441"/>
    <x v="67"/>
    <d v="2025-03-12T00:00:00"/>
    <x v="0"/>
    <x v="2"/>
    <x v="2"/>
    <x v="0"/>
    <x v="11"/>
    <x v="2"/>
    <x v="10"/>
    <x v="0"/>
  </r>
  <r>
    <s v="TX501844"/>
    <x v="1"/>
    <x v="0"/>
    <n v="42.6"/>
    <x v="440"/>
    <x v="67"/>
    <d v="2025-03-13T00:00:00"/>
    <x v="2"/>
    <x v="0"/>
    <x v="0"/>
    <x v="0"/>
    <x v="11"/>
    <x v="5"/>
    <x v="10"/>
    <x v="2"/>
  </r>
  <r>
    <s v="TX501845"/>
    <x v="8"/>
    <x v="20"/>
    <n v="32.4"/>
    <x v="1442"/>
    <x v="67"/>
    <d v="2025-03-10T00:00:00"/>
    <x v="1"/>
    <x v="1"/>
    <x v="1"/>
    <x v="0"/>
    <x v="11"/>
    <x v="3"/>
    <x v="10"/>
    <x v="1"/>
  </r>
  <r>
    <s v="TX501846"/>
    <x v="4"/>
    <x v="12"/>
    <n v="20.2"/>
    <x v="1443"/>
    <x v="67"/>
    <d v="2025-03-10T00:00:00"/>
    <x v="3"/>
    <x v="2"/>
    <x v="0"/>
    <x v="0"/>
    <x v="11"/>
    <x v="3"/>
    <x v="10"/>
    <x v="3"/>
  </r>
  <r>
    <s v="TX501847"/>
    <x v="16"/>
    <x v="2"/>
    <n v="52.5"/>
    <x v="905"/>
    <x v="67"/>
    <d v="2025-03-14T00:00:00"/>
    <x v="2"/>
    <x v="4"/>
    <x v="0"/>
    <x v="0"/>
    <x v="18"/>
    <x v="0"/>
    <x v="10"/>
    <x v="2"/>
  </r>
  <r>
    <s v="TX501848"/>
    <x v="2"/>
    <x v="9"/>
    <n v="59.9"/>
    <x v="1444"/>
    <x v="67"/>
    <d v="2025-03-11T00:00:00"/>
    <x v="2"/>
    <x v="2"/>
    <x v="0"/>
    <x v="0"/>
    <x v="19"/>
    <x v="1"/>
    <x v="10"/>
    <x v="2"/>
  </r>
  <r>
    <s v="TX501849"/>
    <x v="4"/>
    <x v="1"/>
    <n v="53.2"/>
    <x v="793"/>
    <x v="67"/>
    <d v="2025-03-10T00:00:00"/>
    <x v="2"/>
    <x v="1"/>
    <x v="3"/>
    <x v="0"/>
    <x v="20"/>
    <x v="3"/>
    <x v="10"/>
    <x v="2"/>
  </r>
  <r>
    <s v="TX501850"/>
    <x v="2"/>
    <x v="1"/>
    <n v="60"/>
    <x v="160"/>
    <x v="67"/>
    <d v="2025-03-15T00:00:00"/>
    <x v="1"/>
    <x v="1"/>
    <x v="2"/>
    <x v="0"/>
    <x v="20"/>
    <x v="4"/>
    <x v="10"/>
    <x v="1"/>
  </r>
  <r>
    <s v="TX501851"/>
    <x v="8"/>
    <x v="2"/>
    <n v="29.3"/>
    <x v="1205"/>
    <x v="67"/>
    <d v="2025-03-10T00:00:00"/>
    <x v="2"/>
    <x v="4"/>
    <x v="0"/>
    <x v="0"/>
    <x v="13"/>
    <x v="3"/>
    <x v="10"/>
    <x v="2"/>
  </r>
  <r>
    <s v="TX501852"/>
    <x v="12"/>
    <x v="1"/>
    <n v="55.4"/>
    <x v="806"/>
    <x v="67"/>
    <d v="2025-03-10T00:00:00"/>
    <x v="2"/>
    <x v="0"/>
    <x v="2"/>
    <x v="0"/>
    <x v="21"/>
    <x v="3"/>
    <x v="10"/>
    <x v="2"/>
  </r>
  <r>
    <s v="TX501853"/>
    <x v="0"/>
    <x v="9"/>
    <n v="20.100000000000001"/>
    <x v="427"/>
    <x v="67"/>
    <d v="2025-03-11T00:00:00"/>
    <x v="2"/>
    <x v="1"/>
    <x v="2"/>
    <x v="0"/>
    <x v="21"/>
    <x v="1"/>
    <x v="10"/>
    <x v="2"/>
  </r>
  <r>
    <s v="TX501854"/>
    <x v="14"/>
    <x v="9"/>
    <n v="24"/>
    <x v="160"/>
    <x v="67"/>
    <d v="2025-03-12T00:00:00"/>
    <x v="1"/>
    <x v="2"/>
    <x v="0"/>
    <x v="0"/>
    <x v="1"/>
    <x v="2"/>
    <x v="10"/>
    <x v="1"/>
  </r>
  <r>
    <s v="TX501855"/>
    <x v="8"/>
    <x v="1"/>
    <n v="30.6"/>
    <x v="1"/>
    <x v="68"/>
    <d v="2025-03-12T00:00:00"/>
    <x v="2"/>
    <x v="0"/>
    <x v="0"/>
    <x v="0"/>
    <x v="1"/>
    <x v="1"/>
    <x v="10"/>
    <x v="2"/>
  </r>
  <r>
    <s v="TX501856"/>
    <x v="10"/>
    <x v="9"/>
    <n v="33"/>
    <x v="1445"/>
    <x v="68"/>
    <d v="2025-03-11T00:00:00"/>
    <x v="1"/>
    <x v="1"/>
    <x v="1"/>
    <x v="0"/>
    <x v="27"/>
    <x v="3"/>
    <x v="10"/>
    <x v="1"/>
  </r>
  <r>
    <s v="TX501857"/>
    <x v="17"/>
    <x v="11"/>
    <n v="42.1"/>
    <x v="1258"/>
    <x v="68"/>
    <d v="2025-03-16T00:00:00"/>
    <x v="2"/>
    <x v="2"/>
    <x v="0"/>
    <x v="0"/>
    <x v="44"/>
    <x v="4"/>
    <x v="10"/>
    <x v="2"/>
  </r>
  <r>
    <s v="TX501858"/>
    <x v="6"/>
    <x v="3"/>
    <n v="77.7"/>
    <x v="1446"/>
    <x v="68"/>
    <d v="2025-03-15T00:00:00"/>
    <x v="2"/>
    <x v="1"/>
    <x v="2"/>
    <x v="0"/>
    <x v="50"/>
    <x v="0"/>
    <x v="10"/>
    <x v="2"/>
  </r>
  <r>
    <s v="TX501859"/>
    <x v="17"/>
    <x v="13"/>
    <n v="22.7"/>
    <x v="1134"/>
    <x v="68"/>
    <d v="2025-03-13T00:00:00"/>
    <x v="2"/>
    <x v="2"/>
    <x v="0"/>
    <x v="0"/>
    <x v="3"/>
    <x v="2"/>
    <x v="10"/>
    <x v="2"/>
  </r>
  <r>
    <s v="TX501860"/>
    <x v="2"/>
    <x v="1"/>
    <n v="133"/>
    <x v="751"/>
    <x v="68"/>
    <d v="2025-03-10T00:00:00"/>
    <x v="1"/>
    <x v="2"/>
    <x v="2"/>
    <x v="0"/>
    <x v="3"/>
    <x v="7"/>
    <x v="10"/>
    <x v="1"/>
  </r>
  <r>
    <s v="TX501861"/>
    <x v="0"/>
    <x v="1"/>
    <n v="23.3"/>
    <x v="1447"/>
    <x v="68"/>
    <d v="2025-03-11T00:00:00"/>
    <x v="1"/>
    <x v="1"/>
    <x v="2"/>
    <x v="0"/>
    <x v="3"/>
    <x v="3"/>
    <x v="10"/>
    <x v="1"/>
  </r>
  <r>
    <s v="TX501862"/>
    <x v="8"/>
    <x v="2"/>
    <n v="20.7"/>
    <x v="1448"/>
    <x v="68"/>
    <d v="2025-03-12T00:00:00"/>
    <x v="3"/>
    <x v="0"/>
    <x v="2"/>
    <x v="0"/>
    <x v="3"/>
    <x v="1"/>
    <x v="10"/>
    <x v="3"/>
  </r>
  <r>
    <s v="TX501863"/>
    <x v="12"/>
    <x v="1"/>
    <n v="47"/>
    <x v="255"/>
    <x v="68"/>
    <d v="2025-03-11T00:00:00"/>
    <x v="1"/>
    <x v="1"/>
    <x v="2"/>
    <x v="0"/>
    <x v="3"/>
    <x v="3"/>
    <x v="10"/>
    <x v="1"/>
  </r>
  <r>
    <s v="TX501864"/>
    <x v="12"/>
    <x v="2"/>
    <n v="38.200000000000003"/>
    <x v="1449"/>
    <x v="68"/>
    <d v="2025-03-12T00:00:00"/>
    <x v="2"/>
    <x v="2"/>
    <x v="4"/>
    <x v="0"/>
    <x v="3"/>
    <x v="1"/>
    <x v="10"/>
    <x v="2"/>
  </r>
  <r>
    <s v="TX501865"/>
    <x v="9"/>
    <x v="0"/>
    <n v="39.1"/>
    <x v="923"/>
    <x v="68"/>
    <d v="2025-03-12T00:00:00"/>
    <x v="2"/>
    <x v="0"/>
    <x v="0"/>
    <x v="0"/>
    <x v="3"/>
    <x v="1"/>
    <x v="10"/>
    <x v="2"/>
  </r>
  <r>
    <s v="TX501866"/>
    <x v="7"/>
    <x v="30"/>
    <n v="55.6"/>
    <x v="1450"/>
    <x v="68"/>
    <d v="2025-03-12T00:00:00"/>
    <x v="1"/>
    <x v="0"/>
    <x v="2"/>
    <x v="0"/>
    <x v="3"/>
    <x v="1"/>
    <x v="10"/>
    <x v="1"/>
  </r>
  <r>
    <s v="TX501867"/>
    <x v="15"/>
    <x v="0"/>
    <n v="43.1"/>
    <x v="39"/>
    <x v="68"/>
    <d v="2025-03-10T00:00:00"/>
    <x v="3"/>
    <x v="1"/>
    <x v="2"/>
    <x v="0"/>
    <x v="3"/>
    <x v="7"/>
    <x v="10"/>
    <x v="3"/>
  </r>
  <r>
    <s v="TX501868"/>
    <x v="6"/>
    <x v="12"/>
    <n v="48.1"/>
    <x v="1451"/>
    <x v="68"/>
    <d v="2025-03-11T00:00:00"/>
    <x v="2"/>
    <x v="4"/>
    <x v="2"/>
    <x v="0"/>
    <x v="3"/>
    <x v="3"/>
    <x v="10"/>
    <x v="2"/>
  </r>
  <r>
    <s v="TX501869"/>
    <x v="4"/>
    <x v="0"/>
    <n v="42"/>
    <x v="337"/>
    <x v="68"/>
    <d v="2025-03-11T00:00:00"/>
    <x v="3"/>
    <x v="0"/>
    <x v="0"/>
    <x v="0"/>
    <x v="3"/>
    <x v="3"/>
    <x v="10"/>
    <x v="3"/>
  </r>
  <r>
    <s v="TX501870"/>
    <x v="8"/>
    <x v="9"/>
    <n v="18.3"/>
    <x v="1058"/>
    <x v="68"/>
    <d v="2025-03-10T00:00:00"/>
    <x v="2"/>
    <x v="2"/>
    <x v="0"/>
    <x v="0"/>
    <x v="3"/>
    <x v="7"/>
    <x v="10"/>
    <x v="2"/>
  </r>
  <r>
    <s v="TX501871"/>
    <x v="10"/>
    <x v="12"/>
    <n v="45.3"/>
    <x v="1452"/>
    <x v="68"/>
    <d v="2025-03-13T00:00:00"/>
    <x v="2"/>
    <x v="0"/>
    <x v="2"/>
    <x v="0"/>
    <x v="3"/>
    <x v="2"/>
    <x v="10"/>
    <x v="2"/>
  </r>
  <r>
    <s v="TX501872"/>
    <x v="0"/>
    <x v="1"/>
    <n v="27.6"/>
    <x v="291"/>
    <x v="68"/>
    <d v="2025-03-12T00:00:00"/>
    <x v="1"/>
    <x v="0"/>
    <x v="2"/>
    <x v="0"/>
    <x v="37"/>
    <x v="1"/>
    <x v="10"/>
    <x v="1"/>
  </r>
  <r>
    <s v="TX501873"/>
    <x v="4"/>
    <x v="9"/>
    <n v="26.9"/>
    <x v="531"/>
    <x v="68"/>
    <d v="2025-03-11T00:00:00"/>
    <x v="2"/>
    <x v="2"/>
    <x v="0"/>
    <x v="0"/>
    <x v="25"/>
    <x v="3"/>
    <x v="10"/>
    <x v="2"/>
  </r>
  <r>
    <s v="TX501874"/>
    <x v="2"/>
    <x v="11"/>
    <n v="82.4"/>
    <x v="1453"/>
    <x v="68"/>
    <d v="2025-03-12T00:00:00"/>
    <x v="3"/>
    <x v="2"/>
    <x v="0"/>
    <x v="0"/>
    <x v="5"/>
    <x v="1"/>
    <x v="10"/>
    <x v="3"/>
  </r>
  <r>
    <s v="TX501875"/>
    <x v="6"/>
    <x v="0"/>
    <n v="103.7"/>
    <x v="1454"/>
    <x v="68"/>
    <d v="2025-03-12T00:00:00"/>
    <x v="2"/>
    <x v="1"/>
    <x v="0"/>
    <x v="0"/>
    <x v="5"/>
    <x v="1"/>
    <x v="10"/>
    <x v="2"/>
  </r>
  <r>
    <s v="TX501876"/>
    <x v="2"/>
    <x v="1"/>
    <n v="58.8"/>
    <x v="833"/>
    <x v="68"/>
    <d v="2025-03-15T00:00:00"/>
    <x v="2"/>
    <x v="1"/>
    <x v="2"/>
    <x v="0"/>
    <x v="6"/>
    <x v="0"/>
    <x v="10"/>
    <x v="2"/>
  </r>
  <r>
    <s v="TX501877"/>
    <x v="13"/>
    <x v="0"/>
    <n v="31.5"/>
    <x v="1455"/>
    <x v="68"/>
    <d v="2025-03-11T00:00:00"/>
    <x v="2"/>
    <x v="1"/>
    <x v="1"/>
    <x v="0"/>
    <x v="6"/>
    <x v="3"/>
    <x v="10"/>
    <x v="2"/>
  </r>
  <r>
    <s v="TX501878"/>
    <x v="7"/>
    <x v="9"/>
    <n v="36.799999999999997"/>
    <x v="79"/>
    <x v="68"/>
    <d v="2025-03-12T00:00:00"/>
    <x v="2"/>
    <x v="0"/>
    <x v="0"/>
    <x v="0"/>
    <x v="8"/>
    <x v="1"/>
    <x v="10"/>
    <x v="2"/>
  </r>
  <r>
    <s v="TX501879"/>
    <x v="3"/>
    <x v="0"/>
    <n v="84.4"/>
    <x v="533"/>
    <x v="68"/>
    <d v="2025-03-11T00:00:00"/>
    <x v="2"/>
    <x v="0"/>
    <x v="0"/>
    <x v="0"/>
    <x v="8"/>
    <x v="3"/>
    <x v="10"/>
    <x v="2"/>
  </r>
  <r>
    <s v="TX501880"/>
    <x v="14"/>
    <x v="0"/>
    <n v="44.7"/>
    <x v="1456"/>
    <x v="68"/>
    <d v="2025-03-11T00:00:00"/>
    <x v="1"/>
    <x v="0"/>
    <x v="1"/>
    <x v="0"/>
    <x v="8"/>
    <x v="3"/>
    <x v="10"/>
    <x v="1"/>
  </r>
  <r>
    <s v="TX501881"/>
    <x v="9"/>
    <x v="8"/>
    <n v="39.4"/>
    <x v="895"/>
    <x v="68"/>
    <d v="2025-03-11T00:00:00"/>
    <x v="2"/>
    <x v="1"/>
    <x v="2"/>
    <x v="0"/>
    <x v="8"/>
    <x v="3"/>
    <x v="10"/>
    <x v="2"/>
  </r>
  <r>
    <s v="TX501882"/>
    <x v="11"/>
    <x v="12"/>
    <n v="34.9"/>
    <x v="1457"/>
    <x v="68"/>
    <d v="2025-03-12T00:00:00"/>
    <x v="2"/>
    <x v="0"/>
    <x v="2"/>
    <x v="0"/>
    <x v="8"/>
    <x v="1"/>
    <x v="10"/>
    <x v="2"/>
  </r>
  <r>
    <s v="TX501883"/>
    <x v="1"/>
    <x v="2"/>
    <n v="62.3"/>
    <x v="1458"/>
    <x v="68"/>
    <d v="2025-03-12T00:00:00"/>
    <x v="1"/>
    <x v="4"/>
    <x v="2"/>
    <x v="0"/>
    <x v="8"/>
    <x v="1"/>
    <x v="10"/>
    <x v="1"/>
  </r>
  <r>
    <s v="TX501884"/>
    <x v="8"/>
    <x v="12"/>
    <n v="21.1"/>
    <x v="533"/>
    <x v="68"/>
    <d v="2025-03-13T00:00:00"/>
    <x v="1"/>
    <x v="3"/>
    <x v="0"/>
    <x v="0"/>
    <x v="8"/>
    <x v="2"/>
    <x v="10"/>
    <x v="1"/>
  </r>
  <r>
    <s v="TX501885"/>
    <x v="8"/>
    <x v="2"/>
    <n v="33.200000000000003"/>
    <x v="1459"/>
    <x v="68"/>
    <d v="2025-03-24T00:00:00"/>
    <x v="0"/>
    <x v="0"/>
    <x v="4"/>
    <x v="0"/>
    <x v="8"/>
    <x v="12"/>
    <x v="10"/>
    <x v="0"/>
  </r>
  <r>
    <s v="TX501886"/>
    <x v="1"/>
    <x v="12"/>
    <n v="74.5"/>
    <x v="1460"/>
    <x v="68"/>
    <d v="2025-03-11T00:00:00"/>
    <x v="1"/>
    <x v="4"/>
    <x v="0"/>
    <x v="0"/>
    <x v="8"/>
    <x v="3"/>
    <x v="10"/>
    <x v="1"/>
  </r>
  <r>
    <s v="TX501887"/>
    <x v="10"/>
    <x v="4"/>
    <n v="68.599999999999994"/>
    <x v="1461"/>
    <x v="68"/>
    <d v="2025-03-13T00:00:00"/>
    <x v="2"/>
    <x v="0"/>
    <x v="2"/>
    <x v="0"/>
    <x v="8"/>
    <x v="2"/>
    <x v="10"/>
    <x v="2"/>
  </r>
  <r>
    <s v="TX501888"/>
    <x v="5"/>
    <x v="21"/>
    <n v="36.4"/>
    <x v="1462"/>
    <x v="68"/>
    <d v="2025-03-12T00:00:00"/>
    <x v="2"/>
    <x v="0"/>
    <x v="1"/>
    <x v="0"/>
    <x v="9"/>
    <x v="1"/>
    <x v="10"/>
    <x v="2"/>
  </r>
  <r>
    <s v="TX501889"/>
    <x v="16"/>
    <x v="9"/>
    <n v="67.599999999999994"/>
    <x v="1463"/>
    <x v="69"/>
    <d v="2025-03-14T00:00:00"/>
    <x v="2"/>
    <x v="4"/>
    <x v="1"/>
    <x v="0"/>
    <x v="9"/>
    <x v="2"/>
    <x v="10"/>
    <x v="2"/>
  </r>
  <r>
    <s v="TX501890"/>
    <x v="15"/>
    <x v="0"/>
    <n v="46.3"/>
    <x v="516"/>
    <x v="69"/>
    <d v="2025-03-12T00:00:00"/>
    <x v="1"/>
    <x v="2"/>
    <x v="0"/>
    <x v="0"/>
    <x v="9"/>
    <x v="3"/>
    <x v="10"/>
    <x v="1"/>
  </r>
  <r>
    <s v="TX501891"/>
    <x v="1"/>
    <x v="2"/>
    <n v="124.2"/>
    <x v="1464"/>
    <x v="69"/>
    <d v="2025-03-13T00:00:00"/>
    <x v="2"/>
    <x v="1"/>
    <x v="2"/>
    <x v="0"/>
    <x v="11"/>
    <x v="1"/>
    <x v="10"/>
    <x v="2"/>
  </r>
  <r>
    <s v="TX501892"/>
    <x v="10"/>
    <x v="1"/>
    <n v="37"/>
    <x v="372"/>
    <x v="69"/>
    <d v="2025-03-17T00:00:00"/>
    <x v="1"/>
    <x v="0"/>
    <x v="0"/>
    <x v="0"/>
    <x v="11"/>
    <x v="4"/>
    <x v="10"/>
    <x v="1"/>
  </r>
  <r>
    <s v="TX501893"/>
    <x v="5"/>
    <x v="0"/>
    <n v="41.8"/>
    <x v="1465"/>
    <x v="69"/>
    <d v="2025-03-12T00:00:00"/>
    <x v="1"/>
    <x v="2"/>
    <x v="0"/>
    <x v="0"/>
    <x v="31"/>
    <x v="3"/>
    <x v="10"/>
    <x v="1"/>
  </r>
  <r>
    <s v="TX501894"/>
    <x v="9"/>
    <x v="1"/>
    <n v="57.2"/>
    <x v="1466"/>
    <x v="69"/>
    <d v="2025-03-13T00:00:00"/>
    <x v="1"/>
    <x v="2"/>
    <x v="1"/>
    <x v="0"/>
    <x v="20"/>
    <x v="1"/>
    <x v="10"/>
    <x v="1"/>
  </r>
  <r>
    <s v="TX501895"/>
    <x v="6"/>
    <x v="1"/>
    <n v="47.1"/>
    <x v="1467"/>
    <x v="69"/>
    <d v="2025-03-13T00:00:00"/>
    <x v="2"/>
    <x v="0"/>
    <x v="4"/>
    <x v="0"/>
    <x v="20"/>
    <x v="1"/>
    <x v="10"/>
    <x v="2"/>
  </r>
  <r>
    <s v="TX501896"/>
    <x v="5"/>
    <x v="2"/>
    <n v="86.4"/>
    <x v="1468"/>
    <x v="69"/>
    <d v="2025-03-12T00:00:00"/>
    <x v="1"/>
    <x v="2"/>
    <x v="1"/>
    <x v="0"/>
    <x v="52"/>
    <x v="3"/>
    <x v="10"/>
    <x v="1"/>
  </r>
  <r>
    <s v="TX501897"/>
    <x v="6"/>
    <x v="9"/>
    <n v="105"/>
    <x v="1469"/>
    <x v="69"/>
    <d v="2025-03-14T00:00:00"/>
    <x v="1"/>
    <x v="0"/>
    <x v="0"/>
    <x v="0"/>
    <x v="13"/>
    <x v="2"/>
    <x v="10"/>
    <x v="1"/>
  </r>
  <r>
    <s v="TX501898"/>
    <x v="18"/>
    <x v="0"/>
    <n v="33"/>
    <x v="940"/>
    <x v="69"/>
    <d v="2025-03-14T00:00:00"/>
    <x v="1"/>
    <x v="4"/>
    <x v="0"/>
    <x v="0"/>
    <x v="21"/>
    <x v="2"/>
    <x v="10"/>
    <x v="1"/>
  </r>
  <r>
    <s v="TX501899"/>
    <x v="6"/>
    <x v="9"/>
    <n v="106.6"/>
    <x v="1470"/>
    <x v="69"/>
    <d v="2025-03-24T00:00:00"/>
    <x v="2"/>
    <x v="2"/>
    <x v="0"/>
    <x v="0"/>
    <x v="1"/>
    <x v="10"/>
    <x v="10"/>
    <x v="2"/>
  </r>
  <r>
    <s v="TX501900"/>
    <x v="10"/>
    <x v="46"/>
    <n v="26.8"/>
    <x v="1471"/>
    <x v="69"/>
    <d v="2025-03-12T00:00:00"/>
    <x v="2"/>
    <x v="2"/>
    <x v="0"/>
    <x v="0"/>
    <x v="1"/>
    <x v="3"/>
    <x v="10"/>
    <x v="2"/>
  </r>
  <r>
    <s v="TX501901"/>
    <x v="17"/>
    <x v="9"/>
    <n v="25.8"/>
    <x v="309"/>
    <x v="69"/>
    <d v="2025-03-11T00:00:00"/>
    <x v="2"/>
    <x v="1"/>
    <x v="2"/>
    <x v="0"/>
    <x v="3"/>
    <x v="7"/>
    <x v="10"/>
    <x v="2"/>
  </r>
  <r>
    <s v="TX501902"/>
    <x v="2"/>
    <x v="2"/>
    <n v="217"/>
    <x v="1472"/>
    <x v="69"/>
    <d v="2025-03-12T00:00:00"/>
    <x v="2"/>
    <x v="1"/>
    <x v="1"/>
    <x v="0"/>
    <x v="3"/>
    <x v="3"/>
    <x v="10"/>
    <x v="2"/>
  </r>
  <r>
    <s v="TX501903"/>
    <x v="2"/>
    <x v="1"/>
    <n v="97.3"/>
    <x v="1473"/>
    <x v="69"/>
    <d v="2025-03-12T00:00:00"/>
    <x v="1"/>
    <x v="2"/>
    <x v="4"/>
    <x v="0"/>
    <x v="3"/>
    <x v="3"/>
    <x v="10"/>
    <x v="1"/>
  </r>
  <r>
    <s v="TX501904"/>
    <x v="1"/>
    <x v="0"/>
    <n v="49.8"/>
    <x v="1474"/>
    <x v="69"/>
    <d v="2025-03-12T00:00:00"/>
    <x v="2"/>
    <x v="0"/>
    <x v="0"/>
    <x v="0"/>
    <x v="3"/>
    <x v="3"/>
    <x v="10"/>
    <x v="2"/>
  </r>
  <r>
    <s v="TX501905"/>
    <x v="12"/>
    <x v="9"/>
    <n v="32.6"/>
    <x v="1475"/>
    <x v="69"/>
    <d v="2025-03-12T00:00:00"/>
    <x v="2"/>
    <x v="0"/>
    <x v="0"/>
    <x v="0"/>
    <x v="3"/>
    <x v="3"/>
    <x v="10"/>
    <x v="2"/>
  </r>
  <r>
    <s v="TX501906"/>
    <x v="9"/>
    <x v="1"/>
    <n v="40.1"/>
    <x v="556"/>
    <x v="69"/>
    <d v="2025-03-14T00:00:00"/>
    <x v="1"/>
    <x v="1"/>
    <x v="2"/>
    <x v="0"/>
    <x v="3"/>
    <x v="2"/>
    <x v="10"/>
    <x v="1"/>
  </r>
  <r>
    <s v="TX501907"/>
    <x v="10"/>
    <x v="1"/>
    <n v="49.4"/>
    <x v="197"/>
    <x v="69"/>
    <d v="2025-03-13T00:00:00"/>
    <x v="1"/>
    <x v="1"/>
    <x v="0"/>
    <x v="0"/>
    <x v="3"/>
    <x v="1"/>
    <x v="10"/>
    <x v="1"/>
  </r>
  <r>
    <s v="TX501908"/>
    <x v="2"/>
    <x v="0"/>
    <n v="67.3"/>
    <x v="1476"/>
    <x v="69"/>
    <d v="2025-03-12T00:00:00"/>
    <x v="2"/>
    <x v="0"/>
    <x v="2"/>
    <x v="0"/>
    <x v="3"/>
    <x v="3"/>
    <x v="10"/>
    <x v="2"/>
  </r>
  <r>
    <s v="TX501909"/>
    <x v="18"/>
    <x v="12"/>
    <n v="44.5"/>
    <x v="394"/>
    <x v="69"/>
    <d v="2025-03-14T00:00:00"/>
    <x v="0"/>
    <x v="1"/>
    <x v="0"/>
    <x v="0"/>
    <x v="3"/>
    <x v="2"/>
    <x v="10"/>
    <x v="0"/>
  </r>
  <r>
    <s v="TX501910"/>
    <x v="6"/>
    <x v="5"/>
    <n v="111.1"/>
    <x v="1477"/>
    <x v="69"/>
    <d v="2025-03-12T00:00:00"/>
    <x v="2"/>
    <x v="4"/>
    <x v="0"/>
    <x v="0"/>
    <x v="3"/>
    <x v="3"/>
    <x v="10"/>
    <x v="2"/>
  </r>
  <r>
    <s v="TX501911"/>
    <x v="8"/>
    <x v="2"/>
    <n v="19.7"/>
    <x v="1478"/>
    <x v="69"/>
    <d v="2025-03-12T00:00:00"/>
    <x v="2"/>
    <x v="4"/>
    <x v="4"/>
    <x v="0"/>
    <x v="3"/>
    <x v="3"/>
    <x v="10"/>
    <x v="2"/>
  </r>
  <r>
    <s v="TX501912"/>
    <x v="1"/>
    <x v="0"/>
    <n v="40.299999999999997"/>
    <x v="518"/>
    <x v="69"/>
    <d v="2025-03-12T00:00:00"/>
    <x v="3"/>
    <x v="1"/>
    <x v="0"/>
    <x v="0"/>
    <x v="3"/>
    <x v="3"/>
    <x v="10"/>
    <x v="3"/>
  </r>
  <r>
    <s v="TX501913"/>
    <x v="6"/>
    <x v="1"/>
    <n v="108.8"/>
    <x v="1479"/>
    <x v="69"/>
    <d v="2025-03-16T00:00:00"/>
    <x v="1"/>
    <x v="0"/>
    <x v="2"/>
    <x v="0"/>
    <x v="6"/>
    <x v="0"/>
    <x v="10"/>
    <x v="1"/>
  </r>
  <r>
    <s v="TX501914"/>
    <x v="8"/>
    <x v="2"/>
    <n v="48.2"/>
    <x v="1435"/>
    <x v="69"/>
    <d v="2025-03-16T00:00:00"/>
    <x v="2"/>
    <x v="4"/>
    <x v="0"/>
    <x v="0"/>
    <x v="7"/>
    <x v="0"/>
    <x v="10"/>
    <x v="2"/>
  </r>
  <r>
    <s v="TX501915"/>
    <x v="2"/>
    <x v="2"/>
    <n v="104.7"/>
    <x v="1480"/>
    <x v="69"/>
    <d v="2025-03-13T00:00:00"/>
    <x v="2"/>
    <x v="0"/>
    <x v="1"/>
    <x v="0"/>
    <x v="7"/>
    <x v="1"/>
    <x v="10"/>
    <x v="2"/>
  </r>
  <r>
    <s v="TX501916"/>
    <x v="1"/>
    <x v="1"/>
    <n v="80.599999999999994"/>
    <x v="154"/>
    <x v="69"/>
    <d v="2025-03-11T00:00:00"/>
    <x v="2"/>
    <x v="1"/>
    <x v="0"/>
    <x v="0"/>
    <x v="8"/>
    <x v="7"/>
    <x v="10"/>
    <x v="2"/>
  </r>
  <r>
    <s v="TX501917"/>
    <x v="6"/>
    <x v="0"/>
    <n v="65.5"/>
    <x v="1481"/>
    <x v="69"/>
    <d v="2025-03-13T00:00:00"/>
    <x v="3"/>
    <x v="1"/>
    <x v="0"/>
    <x v="0"/>
    <x v="8"/>
    <x v="1"/>
    <x v="10"/>
    <x v="3"/>
  </r>
  <r>
    <s v="TX501918"/>
    <x v="9"/>
    <x v="2"/>
    <n v="61.4"/>
    <x v="1173"/>
    <x v="69"/>
    <d v="2025-03-13T00:00:00"/>
    <x v="2"/>
    <x v="4"/>
    <x v="2"/>
    <x v="0"/>
    <x v="8"/>
    <x v="1"/>
    <x v="10"/>
    <x v="2"/>
  </r>
  <r>
    <s v="TX501919"/>
    <x v="0"/>
    <x v="0"/>
    <n v="12.5"/>
    <x v="1482"/>
    <x v="70"/>
    <d v="2025-03-15T00:00:00"/>
    <x v="2"/>
    <x v="0"/>
    <x v="1"/>
    <x v="0"/>
    <x v="8"/>
    <x v="2"/>
    <x v="10"/>
    <x v="2"/>
  </r>
  <r>
    <s v="TX501920"/>
    <x v="4"/>
    <x v="12"/>
    <n v="35.1"/>
    <x v="381"/>
    <x v="70"/>
    <d v="2025-03-13T00:00:00"/>
    <x v="1"/>
    <x v="2"/>
    <x v="1"/>
    <x v="0"/>
    <x v="17"/>
    <x v="3"/>
    <x v="10"/>
    <x v="1"/>
  </r>
  <r>
    <s v="TX501921"/>
    <x v="5"/>
    <x v="1"/>
    <n v="55.7"/>
    <x v="1483"/>
    <x v="70"/>
    <d v="2025-03-13T00:00:00"/>
    <x v="1"/>
    <x v="0"/>
    <x v="1"/>
    <x v="0"/>
    <x v="26"/>
    <x v="3"/>
    <x v="10"/>
    <x v="1"/>
  </r>
  <r>
    <s v="TX501922"/>
    <x v="7"/>
    <x v="1"/>
    <n v="57.7"/>
    <x v="1484"/>
    <x v="70"/>
    <d v="2025-03-14T00:00:00"/>
    <x v="1"/>
    <x v="4"/>
    <x v="1"/>
    <x v="0"/>
    <x v="9"/>
    <x v="1"/>
    <x v="10"/>
    <x v="1"/>
  </r>
  <r>
    <s v="TX501923"/>
    <x v="2"/>
    <x v="13"/>
    <n v="85.7"/>
    <x v="1485"/>
    <x v="70"/>
    <d v="2025-03-13T00:00:00"/>
    <x v="1"/>
    <x v="3"/>
    <x v="2"/>
    <x v="0"/>
    <x v="9"/>
    <x v="3"/>
    <x v="10"/>
    <x v="1"/>
  </r>
  <r>
    <s v="TX501924"/>
    <x v="2"/>
    <x v="2"/>
    <n v="86.9"/>
    <x v="1486"/>
    <x v="70"/>
    <d v="2025-03-14T00:00:00"/>
    <x v="2"/>
    <x v="1"/>
    <x v="0"/>
    <x v="0"/>
    <x v="11"/>
    <x v="1"/>
    <x v="10"/>
    <x v="2"/>
  </r>
  <r>
    <s v="TX501925"/>
    <x v="18"/>
    <x v="1"/>
    <n v="46.4"/>
    <x v="1487"/>
    <x v="70"/>
    <d v="2025-03-15T00:00:00"/>
    <x v="2"/>
    <x v="4"/>
    <x v="0"/>
    <x v="0"/>
    <x v="11"/>
    <x v="2"/>
    <x v="10"/>
    <x v="2"/>
  </r>
  <r>
    <s v="TX501926"/>
    <x v="5"/>
    <x v="2"/>
    <n v="25.4"/>
    <x v="1488"/>
    <x v="70"/>
    <d v="2025-03-12T00:00:00"/>
    <x v="2"/>
    <x v="2"/>
    <x v="2"/>
    <x v="0"/>
    <x v="18"/>
    <x v="7"/>
    <x v="10"/>
    <x v="2"/>
  </r>
  <r>
    <s v="TX501927"/>
    <x v="10"/>
    <x v="2"/>
    <n v="47.8"/>
    <x v="1489"/>
    <x v="70"/>
    <d v="2025-03-12T00:00:00"/>
    <x v="0"/>
    <x v="2"/>
    <x v="2"/>
    <x v="0"/>
    <x v="19"/>
    <x v="7"/>
    <x v="10"/>
    <x v="0"/>
  </r>
  <r>
    <s v="TX501928"/>
    <x v="8"/>
    <x v="10"/>
    <n v="18.399999999999999"/>
    <x v="1490"/>
    <x v="70"/>
    <d v="2025-03-14T00:00:00"/>
    <x v="3"/>
    <x v="2"/>
    <x v="0"/>
    <x v="0"/>
    <x v="20"/>
    <x v="1"/>
    <x v="10"/>
    <x v="3"/>
  </r>
  <r>
    <s v="TX501929"/>
    <x v="12"/>
    <x v="2"/>
    <n v="65.5"/>
    <x v="756"/>
    <x v="70"/>
    <d v="2025-03-20T00:00:00"/>
    <x v="2"/>
    <x v="0"/>
    <x v="0"/>
    <x v="0"/>
    <x v="21"/>
    <x v="9"/>
    <x v="10"/>
    <x v="2"/>
  </r>
  <r>
    <s v="TX501930"/>
    <x v="10"/>
    <x v="1"/>
    <n v="50.6"/>
    <x v="855"/>
    <x v="70"/>
    <d v="2025-03-15T00:00:00"/>
    <x v="1"/>
    <x v="2"/>
    <x v="4"/>
    <x v="0"/>
    <x v="21"/>
    <x v="2"/>
    <x v="10"/>
    <x v="1"/>
  </r>
  <r>
    <s v="TX501931"/>
    <x v="3"/>
    <x v="9"/>
    <n v="69"/>
    <x v="1491"/>
    <x v="70"/>
    <d v="2025-03-16T00:00:00"/>
    <x v="1"/>
    <x v="3"/>
    <x v="0"/>
    <x v="0"/>
    <x v="21"/>
    <x v="5"/>
    <x v="10"/>
    <x v="1"/>
  </r>
  <r>
    <s v="TX501932"/>
    <x v="9"/>
    <x v="8"/>
    <n v="51.1"/>
    <x v="18"/>
    <x v="70"/>
    <d v="2025-03-14T00:00:00"/>
    <x v="2"/>
    <x v="0"/>
    <x v="0"/>
    <x v="0"/>
    <x v="1"/>
    <x v="1"/>
    <x v="10"/>
    <x v="2"/>
  </r>
  <r>
    <s v="TX501933"/>
    <x v="9"/>
    <x v="0"/>
    <n v="36.1"/>
    <x v="168"/>
    <x v="70"/>
    <d v="2025-03-13T00:00:00"/>
    <x v="2"/>
    <x v="0"/>
    <x v="2"/>
    <x v="0"/>
    <x v="34"/>
    <x v="3"/>
    <x v="10"/>
    <x v="2"/>
  </r>
  <r>
    <s v="TX501934"/>
    <x v="14"/>
    <x v="0"/>
    <n v="18.7"/>
    <x v="1492"/>
    <x v="70"/>
    <d v="2025-03-13T00:00:00"/>
    <x v="1"/>
    <x v="0"/>
    <x v="0"/>
    <x v="0"/>
    <x v="3"/>
    <x v="3"/>
    <x v="10"/>
    <x v="1"/>
  </r>
  <r>
    <s v="TX501935"/>
    <x v="17"/>
    <x v="0"/>
    <n v="30.1"/>
    <x v="1493"/>
    <x v="70"/>
    <d v="2025-03-15T00:00:00"/>
    <x v="2"/>
    <x v="3"/>
    <x v="1"/>
    <x v="0"/>
    <x v="3"/>
    <x v="2"/>
    <x v="10"/>
    <x v="2"/>
  </r>
  <r>
    <s v="TX501936"/>
    <x v="8"/>
    <x v="0"/>
    <n v="16.3"/>
    <x v="1494"/>
    <x v="70"/>
    <d v="2025-03-13T00:00:00"/>
    <x v="1"/>
    <x v="3"/>
    <x v="0"/>
    <x v="0"/>
    <x v="3"/>
    <x v="3"/>
    <x v="10"/>
    <x v="1"/>
  </r>
  <r>
    <s v="TX501937"/>
    <x v="1"/>
    <x v="2"/>
    <n v="63.8"/>
    <x v="1348"/>
    <x v="70"/>
    <d v="2025-03-17T00:00:00"/>
    <x v="2"/>
    <x v="2"/>
    <x v="1"/>
    <x v="0"/>
    <x v="3"/>
    <x v="0"/>
    <x v="10"/>
    <x v="2"/>
  </r>
  <r>
    <s v="TX501938"/>
    <x v="1"/>
    <x v="3"/>
    <n v="73.900000000000006"/>
    <x v="1495"/>
    <x v="70"/>
    <d v="2025-03-12T00:00:00"/>
    <x v="2"/>
    <x v="0"/>
    <x v="1"/>
    <x v="0"/>
    <x v="3"/>
    <x v="7"/>
    <x v="10"/>
    <x v="2"/>
  </r>
  <r>
    <s v="TX501939"/>
    <x v="0"/>
    <x v="1"/>
    <n v="20.2"/>
    <x v="1400"/>
    <x v="70"/>
    <d v="2025-03-13T00:00:00"/>
    <x v="1"/>
    <x v="0"/>
    <x v="1"/>
    <x v="0"/>
    <x v="3"/>
    <x v="3"/>
    <x v="10"/>
    <x v="1"/>
  </r>
  <r>
    <s v="TX501940"/>
    <x v="11"/>
    <x v="5"/>
    <n v="29.5"/>
    <x v="1496"/>
    <x v="70"/>
    <d v="2025-03-13T00:00:00"/>
    <x v="1"/>
    <x v="0"/>
    <x v="0"/>
    <x v="0"/>
    <x v="3"/>
    <x v="3"/>
    <x v="10"/>
    <x v="1"/>
  </r>
  <r>
    <s v="TX501941"/>
    <x v="15"/>
    <x v="3"/>
    <n v="37.9"/>
    <x v="1497"/>
    <x v="70"/>
    <d v="2025-03-13T00:00:00"/>
    <x v="1"/>
    <x v="1"/>
    <x v="0"/>
    <x v="0"/>
    <x v="3"/>
    <x v="3"/>
    <x v="10"/>
    <x v="1"/>
  </r>
  <r>
    <s v="TX501942"/>
    <x v="2"/>
    <x v="0"/>
    <n v="56.5"/>
    <x v="1498"/>
    <x v="70"/>
    <d v="2025-03-13T00:00:00"/>
    <x v="2"/>
    <x v="2"/>
    <x v="1"/>
    <x v="0"/>
    <x v="3"/>
    <x v="3"/>
    <x v="10"/>
    <x v="2"/>
  </r>
  <r>
    <s v="TX501943"/>
    <x v="2"/>
    <x v="1"/>
    <n v="66.900000000000006"/>
    <x v="981"/>
    <x v="70"/>
    <d v="2025-03-18T00:00:00"/>
    <x v="1"/>
    <x v="1"/>
    <x v="4"/>
    <x v="0"/>
    <x v="25"/>
    <x v="4"/>
    <x v="10"/>
    <x v="1"/>
  </r>
  <r>
    <s v="TX501944"/>
    <x v="2"/>
    <x v="9"/>
    <n v="51.9"/>
    <x v="1499"/>
    <x v="70"/>
    <d v="2025-03-15T00:00:00"/>
    <x v="1"/>
    <x v="1"/>
    <x v="0"/>
    <x v="0"/>
    <x v="7"/>
    <x v="2"/>
    <x v="10"/>
    <x v="1"/>
  </r>
  <r>
    <s v="TX501945"/>
    <x v="2"/>
    <x v="1"/>
    <n v="75.599999999999994"/>
    <x v="277"/>
    <x v="70"/>
    <d v="2025-03-15T00:00:00"/>
    <x v="1"/>
    <x v="1"/>
    <x v="0"/>
    <x v="0"/>
    <x v="8"/>
    <x v="2"/>
    <x v="10"/>
    <x v="1"/>
  </r>
  <r>
    <s v="TX501946"/>
    <x v="12"/>
    <x v="13"/>
    <n v="47.3"/>
    <x v="592"/>
    <x v="70"/>
    <d v="2025-03-23T00:00:00"/>
    <x v="1"/>
    <x v="0"/>
    <x v="0"/>
    <x v="0"/>
    <x v="8"/>
    <x v="11"/>
    <x v="10"/>
    <x v="1"/>
  </r>
  <r>
    <s v="TX501947"/>
    <x v="4"/>
    <x v="0"/>
    <n v="20.6"/>
    <x v="1500"/>
    <x v="70"/>
    <d v="2025-03-13T00:00:00"/>
    <x v="0"/>
    <x v="0"/>
    <x v="1"/>
    <x v="0"/>
    <x v="8"/>
    <x v="3"/>
    <x v="10"/>
    <x v="0"/>
  </r>
  <r>
    <s v="TX501948"/>
    <x v="6"/>
    <x v="2"/>
    <n v="49.7"/>
    <x v="1501"/>
    <x v="70"/>
    <d v="2025-03-14T00:00:00"/>
    <x v="1"/>
    <x v="0"/>
    <x v="1"/>
    <x v="0"/>
    <x v="8"/>
    <x v="1"/>
    <x v="10"/>
    <x v="1"/>
  </r>
  <r>
    <s v="TX501949"/>
    <x v="3"/>
    <x v="0"/>
    <n v="37.9"/>
    <x v="853"/>
    <x v="70"/>
    <d v="2025-03-14T00:00:00"/>
    <x v="2"/>
    <x v="0"/>
    <x v="0"/>
    <x v="0"/>
    <x v="8"/>
    <x v="1"/>
    <x v="10"/>
    <x v="2"/>
  </r>
  <r>
    <s v="TX501950"/>
    <x v="13"/>
    <x v="20"/>
    <n v="32"/>
    <x v="1502"/>
    <x v="70"/>
    <d v="2025-03-14T00:00:00"/>
    <x v="2"/>
    <x v="4"/>
    <x v="0"/>
    <x v="0"/>
    <x v="11"/>
    <x v="1"/>
    <x v="10"/>
    <x v="2"/>
  </r>
  <r>
    <s v="TX501951"/>
    <x v="10"/>
    <x v="16"/>
    <n v="38.5"/>
    <x v="1503"/>
    <x v="71"/>
    <d v="2025-03-14T00:00:00"/>
    <x v="1"/>
    <x v="0"/>
    <x v="2"/>
    <x v="0"/>
    <x v="11"/>
    <x v="3"/>
    <x v="10"/>
    <x v="1"/>
  </r>
  <r>
    <s v="TX501952"/>
    <x v="0"/>
    <x v="12"/>
    <n v="11.7"/>
    <x v="86"/>
    <x v="71"/>
    <d v="2025-03-15T00:00:00"/>
    <x v="2"/>
    <x v="1"/>
    <x v="0"/>
    <x v="0"/>
    <x v="20"/>
    <x v="1"/>
    <x v="10"/>
    <x v="2"/>
  </r>
  <r>
    <s v="TX501953"/>
    <x v="3"/>
    <x v="13"/>
    <n v="83.8"/>
    <x v="1504"/>
    <x v="71"/>
    <d v="2025-03-14T00:00:00"/>
    <x v="1"/>
    <x v="0"/>
    <x v="0"/>
    <x v="0"/>
    <x v="21"/>
    <x v="3"/>
    <x v="10"/>
    <x v="1"/>
  </r>
  <r>
    <s v="TX501954"/>
    <x v="0"/>
    <x v="3"/>
    <n v="14"/>
    <x v="11"/>
    <x v="71"/>
    <d v="2025-03-16T00:00:00"/>
    <x v="1"/>
    <x v="0"/>
    <x v="1"/>
    <x v="0"/>
    <x v="22"/>
    <x v="2"/>
    <x v="10"/>
    <x v="1"/>
  </r>
  <r>
    <s v="TX501955"/>
    <x v="16"/>
    <x v="12"/>
    <n v="77.3"/>
    <x v="1505"/>
    <x v="71"/>
    <d v="2025-03-15T00:00:00"/>
    <x v="2"/>
    <x v="4"/>
    <x v="2"/>
    <x v="0"/>
    <x v="3"/>
    <x v="1"/>
    <x v="10"/>
    <x v="2"/>
  </r>
  <r>
    <s v="TX501956"/>
    <x v="2"/>
    <x v="1"/>
    <n v="76.900000000000006"/>
    <x v="1506"/>
    <x v="71"/>
    <d v="2025-03-17T00:00:00"/>
    <x v="2"/>
    <x v="0"/>
    <x v="1"/>
    <x v="0"/>
    <x v="3"/>
    <x v="5"/>
    <x v="10"/>
    <x v="2"/>
  </r>
  <r>
    <s v="TX501957"/>
    <x v="1"/>
    <x v="0"/>
    <n v="48"/>
    <x v="510"/>
    <x v="71"/>
    <d v="2025-03-15T00:00:00"/>
    <x v="2"/>
    <x v="1"/>
    <x v="2"/>
    <x v="0"/>
    <x v="3"/>
    <x v="1"/>
    <x v="10"/>
    <x v="2"/>
  </r>
  <r>
    <s v="TX501958"/>
    <x v="2"/>
    <x v="0"/>
    <n v="94.5"/>
    <x v="234"/>
    <x v="71"/>
    <d v="2025-03-16T00:00:00"/>
    <x v="1"/>
    <x v="1"/>
    <x v="1"/>
    <x v="0"/>
    <x v="3"/>
    <x v="2"/>
    <x v="10"/>
    <x v="1"/>
  </r>
  <r>
    <s v="TX501959"/>
    <x v="10"/>
    <x v="2"/>
    <n v="58.4"/>
    <x v="122"/>
    <x v="71"/>
    <d v="2025-03-15T00:00:00"/>
    <x v="2"/>
    <x v="1"/>
    <x v="2"/>
    <x v="0"/>
    <x v="3"/>
    <x v="1"/>
    <x v="10"/>
    <x v="2"/>
  </r>
  <r>
    <s v="TX501960"/>
    <x v="7"/>
    <x v="15"/>
    <n v="42.2"/>
    <x v="1507"/>
    <x v="71"/>
    <d v="2025-03-13T00:00:00"/>
    <x v="1"/>
    <x v="0"/>
    <x v="0"/>
    <x v="0"/>
    <x v="25"/>
    <x v="7"/>
    <x v="10"/>
    <x v="1"/>
  </r>
  <r>
    <s v="TX501961"/>
    <x v="6"/>
    <x v="1"/>
    <n v="152.19999999999999"/>
    <x v="1508"/>
    <x v="71"/>
    <d v="2025-03-14T00:00:00"/>
    <x v="1"/>
    <x v="4"/>
    <x v="1"/>
    <x v="0"/>
    <x v="25"/>
    <x v="3"/>
    <x v="10"/>
    <x v="1"/>
  </r>
  <r>
    <s v="TX501962"/>
    <x v="6"/>
    <x v="25"/>
    <n v="72"/>
    <x v="1509"/>
    <x v="71"/>
    <d v="2025-03-14T00:00:00"/>
    <x v="1"/>
    <x v="0"/>
    <x v="1"/>
    <x v="0"/>
    <x v="6"/>
    <x v="3"/>
    <x v="10"/>
    <x v="1"/>
  </r>
  <r>
    <s v="TX501963"/>
    <x v="1"/>
    <x v="44"/>
    <n v="70.900000000000006"/>
    <x v="1510"/>
    <x v="71"/>
    <d v="2025-03-14T00:00:00"/>
    <x v="2"/>
    <x v="2"/>
    <x v="0"/>
    <x v="0"/>
    <x v="8"/>
    <x v="3"/>
    <x v="10"/>
    <x v="2"/>
  </r>
  <r>
    <s v="TX501964"/>
    <x v="2"/>
    <x v="1"/>
    <n v="53.7"/>
    <x v="1511"/>
    <x v="71"/>
    <d v="2025-03-14T00:00:00"/>
    <x v="1"/>
    <x v="2"/>
    <x v="2"/>
    <x v="0"/>
    <x v="8"/>
    <x v="3"/>
    <x v="10"/>
    <x v="1"/>
  </r>
  <r>
    <s v="TX501965"/>
    <x v="9"/>
    <x v="12"/>
    <n v="42.9"/>
    <x v="1512"/>
    <x v="71"/>
    <d v="2025-03-14T00:00:00"/>
    <x v="2"/>
    <x v="2"/>
    <x v="4"/>
    <x v="0"/>
    <x v="9"/>
    <x v="3"/>
    <x v="10"/>
    <x v="2"/>
  </r>
  <r>
    <s v="TX501966"/>
    <x v="2"/>
    <x v="3"/>
    <n v="107.5"/>
    <x v="1513"/>
    <x v="71"/>
    <d v="2025-03-14T00:00:00"/>
    <x v="1"/>
    <x v="1"/>
    <x v="0"/>
    <x v="0"/>
    <x v="11"/>
    <x v="3"/>
    <x v="10"/>
    <x v="1"/>
  </r>
  <r>
    <s v="TX501967"/>
    <x v="17"/>
    <x v="27"/>
    <n v="21.5"/>
    <x v="1213"/>
    <x v="71"/>
    <d v="2025-03-14T00:00:00"/>
    <x v="1"/>
    <x v="1"/>
    <x v="1"/>
    <x v="0"/>
    <x v="32"/>
    <x v="3"/>
    <x v="10"/>
    <x v="1"/>
  </r>
  <r>
    <s v="TX501968"/>
    <x v="3"/>
    <x v="9"/>
    <n v="85.3"/>
    <x v="1514"/>
    <x v="71"/>
    <d v="2025-03-15T00:00:00"/>
    <x v="2"/>
    <x v="3"/>
    <x v="0"/>
    <x v="0"/>
    <x v="18"/>
    <x v="1"/>
    <x v="10"/>
    <x v="2"/>
  </r>
  <r>
    <s v="TX501969"/>
    <x v="7"/>
    <x v="9"/>
    <n v="80.8"/>
    <x v="1515"/>
    <x v="71"/>
    <d v="2025-03-21T00:00:00"/>
    <x v="3"/>
    <x v="1"/>
    <x v="1"/>
    <x v="0"/>
    <x v="19"/>
    <x v="9"/>
    <x v="10"/>
    <x v="3"/>
  </r>
  <r>
    <s v="TX501970"/>
    <x v="2"/>
    <x v="2"/>
    <n v="123.1"/>
    <x v="1516"/>
    <x v="71"/>
    <d v="2025-03-15T00:00:00"/>
    <x v="0"/>
    <x v="2"/>
    <x v="0"/>
    <x v="0"/>
    <x v="21"/>
    <x v="1"/>
    <x v="10"/>
    <x v="0"/>
  </r>
  <r>
    <s v="TX501971"/>
    <x v="8"/>
    <x v="1"/>
    <n v="36.9"/>
    <x v="1517"/>
    <x v="71"/>
    <d v="2025-03-15T00:00:00"/>
    <x v="2"/>
    <x v="2"/>
    <x v="4"/>
    <x v="0"/>
    <x v="51"/>
    <x v="1"/>
    <x v="10"/>
    <x v="2"/>
  </r>
  <r>
    <s v="TX501972"/>
    <x v="11"/>
    <x v="9"/>
    <n v="40"/>
    <x v="308"/>
    <x v="71"/>
    <d v="2025-03-14T00:00:00"/>
    <x v="1"/>
    <x v="0"/>
    <x v="0"/>
    <x v="0"/>
    <x v="1"/>
    <x v="3"/>
    <x v="10"/>
    <x v="1"/>
  </r>
  <r>
    <s v="TX501973"/>
    <x v="6"/>
    <x v="2"/>
    <n v="55.5"/>
    <x v="1256"/>
    <x v="71"/>
    <d v="2025-03-14T00:00:00"/>
    <x v="1"/>
    <x v="4"/>
    <x v="2"/>
    <x v="0"/>
    <x v="1"/>
    <x v="3"/>
    <x v="10"/>
    <x v="1"/>
  </r>
  <r>
    <s v="TX501974"/>
    <x v="0"/>
    <x v="12"/>
    <n v="20.5"/>
    <x v="1518"/>
    <x v="71"/>
    <d v="2025-03-17T00:00:00"/>
    <x v="2"/>
    <x v="4"/>
    <x v="0"/>
    <x v="0"/>
    <x v="1"/>
    <x v="5"/>
    <x v="10"/>
    <x v="2"/>
  </r>
  <r>
    <s v="TX501975"/>
    <x v="18"/>
    <x v="12"/>
    <n v="50.1"/>
    <x v="1519"/>
    <x v="71"/>
    <d v="2025-03-14T00:00:00"/>
    <x v="2"/>
    <x v="4"/>
    <x v="0"/>
    <x v="0"/>
    <x v="1"/>
    <x v="3"/>
    <x v="10"/>
    <x v="2"/>
  </r>
  <r>
    <s v="TX501976"/>
    <x v="9"/>
    <x v="0"/>
    <n v="35.9"/>
    <x v="1520"/>
    <x v="71"/>
    <d v="2025-03-15T00:00:00"/>
    <x v="1"/>
    <x v="1"/>
    <x v="2"/>
    <x v="0"/>
    <x v="1"/>
    <x v="1"/>
    <x v="10"/>
    <x v="1"/>
  </r>
  <r>
    <s v="TX501977"/>
    <x v="13"/>
    <x v="12"/>
    <n v="29.4"/>
    <x v="833"/>
    <x v="72"/>
    <d v="2025-03-15T00:00:00"/>
    <x v="1"/>
    <x v="2"/>
    <x v="2"/>
    <x v="0"/>
    <x v="33"/>
    <x v="3"/>
    <x v="10"/>
    <x v="1"/>
  </r>
  <r>
    <s v="TX501978"/>
    <x v="8"/>
    <x v="9"/>
    <n v="29.1"/>
    <x v="973"/>
    <x v="72"/>
    <d v="2025-03-22T00:00:00"/>
    <x v="3"/>
    <x v="2"/>
    <x v="1"/>
    <x v="0"/>
    <x v="33"/>
    <x v="9"/>
    <x v="10"/>
    <x v="3"/>
  </r>
  <r>
    <s v="TX501979"/>
    <x v="8"/>
    <x v="2"/>
    <n v="33.5"/>
    <x v="427"/>
    <x v="72"/>
    <d v="2025-03-26T00:00:00"/>
    <x v="1"/>
    <x v="0"/>
    <x v="2"/>
    <x v="0"/>
    <x v="22"/>
    <x v="13"/>
    <x v="10"/>
    <x v="1"/>
  </r>
  <r>
    <s v="TX501980"/>
    <x v="4"/>
    <x v="7"/>
    <n v="36"/>
    <x v="1521"/>
    <x v="72"/>
    <d v="2025-03-14T00:00:00"/>
    <x v="1"/>
    <x v="3"/>
    <x v="2"/>
    <x v="0"/>
    <x v="3"/>
    <x v="7"/>
    <x v="10"/>
    <x v="1"/>
  </r>
  <r>
    <s v="TX501981"/>
    <x v="16"/>
    <x v="2"/>
    <n v="57.3"/>
    <x v="1522"/>
    <x v="72"/>
    <d v="2025-03-18T00:00:00"/>
    <x v="2"/>
    <x v="0"/>
    <x v="2"/>
    <x v="0"/>
    <x v="3"/>
    <x v="5"/>
    <x v="10"/>
    <x v="2"/>
  </r>
  <r>
    <s v="TX501982"/>
    <x v="1"/>
    <x v="0"/>
    <n v="81.400000000000006"/>
    <x v="1523"/>
    <x v="72"/>
    <d v="2025-03-15T00:00:00"/>
    <x v="2"/>
    <x v="2"/>
    <x v="2"/>
    <x v="0"/>
    <x v="3"/>
    <x v="3"/>
    <x v="10"/>
    <x v="2"/>
  </r>
  <r>
    <s v="TX501983"/>
    <x v="10"/>
    <x v="1"/>
    <n v="35.299999999999997"/>
    <x v="527"/>
    <x v="72"/>
    <d v="2025-03-18T00:00:00"/>
    <x v="1"/>
    <x v="0"/>
    <x v="2"/>
    <x v="0"/>
    <x v="3"/>
    <x v="5"/>
    <x v="10"/>
    <x v="1"/>
  </r>
  <r>
    <s v="TX501984"/>
    <x v="3"/>
    <x v="0"/>
    <n v="36.1"/>
    <x v="168"/>
    <x v="72"/>
    <d v="2025-03-15T00:00:00"/>
    <x v="2"/>
    <x v="4"/>
    <x v="0"/>
    <x v="0"/>
    <x v="3"/>
    <x v="3"/>
    <x v="10"/>
    <x v="2"/>
  </r>
  <r>
    <s v="TX501985"/>
    <x v="1"/>
    <x v="1"/>
    <n v="36.700000000000003"/>
    <x v="1524"/>
    <x v="72"/>
    <d v="2025-03-16T00:00:00"/>
    <x v="2"/>
    <x v="0"/>
    <x v="2"/>
    <x v="0"/>
    <x v="3"/>
    <x v="1"/>
    <x v="10"/>
    <x v="2"/>
  </r>
  <r>
    <s v="TX501986"/>
    <x v="10"/>
    <x v="0"/>
    <n v="20.9"/>
    <x v="798"/>
    <x v="72"/>
    <d v="2025-03-16T00:00:00"/>
    <x v="2"/>
    <x v="0"/>
    <x v="4"/>
    <x v="0"/>
    <x v="3"/>
    <x v="1"/>
    <x v="10"/>
    <x v="2"/>
  </r>
  <r>
    <s v="TX501987"/>
    <x v="12"/>
    <x v="2"/>
    <n v="58.8"/>
    <x v="1525"/>
    <x v="72"/>
    <d v="2025-03-18T00:00:00"/>
    <x v="1"/>
    <x v="0"/>
    <x v="2"/>
    <x v="0"/>
    <x v="25"/>
    <x v="5"/>
    <x v="10"/>
    <x v="1"/>
  </r>
  <r>
    <s v="TX501988"/>
    <x v="2"/>
    <x v="2"/>
    <n v="97.6"/>
    <x v="1526"/>
    <x v="73"/>
    <d v="2025-03-17T00:00:00"/>
    <x v="0"/>
    <x v="0"/>
    <x v="0"/>
    <x v="0"/>
    <x v="6"/>
    <x v="1"/>
    <x v="10"/>
    <x v="0"/>
  </r>
  <r>
    <s v="TX501989"/>
    <x v="1"/>
    <x v="1"/>
    <n v="58.7"/>
    <x v="1527"/>
    <x v="73"/>
    <d v="2025-03-18T00:00:00"/>
    <x v="2"/>
    <x v="0"/>
    <x v="1"/>
    <x v="0"/>
    <x v="6"/>
    <x v="2"/>
    <x v="10"/>
    <x v="2"/>
  </r>
  <r>
    <s v="TX501990"/>
    <x v="6"/>
    <x v="9"/>
    <n v="71.900000000000006"/>
    <x v="1528"/>
    <x v="73"/>
    <d v="2025-03-16T00:00:00"/>
    <x v="0"/>
    <x v="0"/>
    <x v="1"/>
    <x v="0"/>
    <x v="6"/>
    <x v="3"/>
    <x v="10"/>
    <x v="0"/>
  </r>
  <r>
    <s v="TX501991"/>
    <x v="1"/>
    <x v="1"/>
    <n v="62.4"/>
    <x v="1109"/>
    <x v="73"/>
    <d v="2025-03-17T00:00:00"/>
    <x v="0"/>
    <x v="0"/>
    <x v="1"/>
    <x v="0"/>
    <x v="8"/>
    <x v="1"/>
    <x v="10"/>
    <x v="0"/>
  </r>
  <r>
    <s v="TX501992"/>
    <x v="6"/>
    <x v="27"/>
    <n v="53.8"/>
    <x v="1529"/>
    <x v="73"/>
    <d v="2025-03-16T00:00:00"/>
    <x v="2"/>
    <x v="1"/>
    <x v="0"/>
    <x v="0"/>
    <x v="8"/>
    <x v="3"/>
    <x v="10"/>
    <x v="2"/>
  </r>
  <r>
    <s v="TX501993"/>
    <x v="9"/>
    <x v="0"/>
    <n v="43.8"/>
    <x v="328"/>
    <x v="73"/>
    <d v="2025-03-22T00:00:00"/>
    <x v="2"/>
    <x v="0"/>
    <x v="2"/>
    <x v="0"/>
    <x v="8"/>
    <x v="6"/>
    <x v="10"/>
    <x v="2"/>
  </r>
  <r>
    <s v="TX501994"/>
    <x v="5"/>
    <x v="2"/>
    <n v="53.6"/>
    <x v="1530"/>
    <x v="73"/>
    <d v="2025-03-16T00:00:00"/>
    <x v="1"/>
    <x v="3"/>
    <x v="0"/>
    <x v="0"/>
    <x v="8"/>
    <x v="3"/>
    <x v="10"/>
    <x v="1"/>
  </r>
  <r>
    <s v="TX501995"/>
    <x v="12"/>
    <x v="1"/>
    <n v="84.3"/>
    <x v="1531"/>
    <x v="73"/>
    <d v="2025-03-18T00:00:00"/>
    <x v="1"/>
    <x v="4"/>
    <x v="1"/>
    <x v="0"/>
    <x v="8"/>
    <x v="2"/>
    <x v="10"/>
    <x v="1"/>
  </r>
  <r>
    <s v="TX501996"/>
    <x v="6"/>
    <x v="11"/>
    <n v="117.9"/>
    <x v="1532"/>
    <x v="73"/>
    <d v="2025-03-16T00:00:00"/>
    <x v="2"/>
    <x v="1"/>
    <x v="2"/>
    <x v="0"/>
    <x v="8"/>
    <x v="3"/>
    <x v="10"/>
    <x v="2"/>
  </r>
  <r>
    <s v="TX501997"/>
    <x v="4"/>
    <x v="8"/>
    <n v="30"/>
    <x v="1533"/>
    <x v="73"/>
    <d v="2025-03-16T00:00:00"/>
    <x v="2"/>
    <x v="1"/>
    <x v="0"/>
    <x v="0"/>
    <x v="26"/>
    <x v="3"/>
    <x v="10"/>
    <x v="2"/>
  </r>
  <r>
    <s v="TX501998"/>
    <x v="14"/>
    <x v="2"/>
    <n v="37.299999999999997"/>
    <x v="1534"/>
    <x v="73"/>
    <d v="2025-03-16T00:00:00"/>
    <x v="1"/>
    <x v="2"/>
    <x v="0"/>
    <x v="0"/>
    <x v="9"/>
    <x v="3"/>
    <x v="10"/>
    <x v="1"/>
  </r>
  <r>
    <s v="TX501999"/>
    <x v="4"/>
    <x v="11"/>
    <n v="25.1"/>
    <x v="1535"/>
    <x v="73"/>
    <d v="2025-03-17T00:00:00"/>
    <x v="1"/>
    <x v="1"/>
    <x v="2"/>
    <x v="0"/>
    <x v="11"/>
    <x v="1"/>
    <x v="10"/>
    <x v="1"/>
  </r>
  <r>
    <s v="TX502000"/>
    <x v="8"/>
    <x v="5"/>
    <n v="36"/>
    <x v="501"/>
    <x v="73"/>
    <d v="2025-03-25T00:00:00"/>
    <x v="1"/>
    <x v="1"/>
    <x v="0"/>
    <x v="0"/>
    <x v="18"/>
    <x v="14"/>
    <x v="10"/>
    <x v="1"/>
  </r>
  <r>
    <s v="TX502001"/>
    <x v="16"/>
    <x v="2"/>
    <n v="48.5"/>
    <x v="973"/>
    <x v="73"/>
    <d v="2025-03-19T00:00:00"/>
    <x v="2"/>
    <x v="1"/>
    <x v="0"/>
    <x v="0"/>
    <x v="19"/>
    <x v="5"/>
    <x v="10"/>
    <x v="2"/>
  </r>
  <r>
    <s v="TX502002"/>
    <x v="17"/>
    <x v="13"/>
    <n v="21.1"/>
    <x v="1077"/>
    <x v="73"/>
    <d v="2025-03-16T00:00:00"/>
    <x v="1"/>
    <x v="1"/>
    <x v="2"/>
    <x v="0"/>
    <x v="21"/>
    <x v="3"/>
    <x v="10"/>
    <x v="1"/>
  </r>
  <r>
    <s v="TX502003"/>
    <x v="15"/>
    <x v="21"/>
    <n v="43.2"/>
    <x v="1536"/>
    <x v="73"/>
    <d v="2025-03-16T00:00:00"/>
    <x v="3"/>
    <x v="0"/>
    <x v="1"/>
    <x v="0"/>
    <x v="21"/>
    <x v="3"/>
    <x v="10"/>
    <x v="3"/>
  </r>
  <r>
    <s v="TX502004"/>
    <x v="9"/>
    <x v="1"/>
    <n v="21.1"/>
    <x v="1283"/>
    <x v="73"/>
    <d v="2025-03-16T00:00:00"/>
    <x v="0"/>
    <x v="3"/>
    <x v="1"/>
    <x v="0"/>
    <x v="21"/>
    <x v="3"/>
    <x v="10"/>
    <x v="0"/>
  </r>
  <r>
    <s v="TX502005"/>
    <x v="6"/>
    <x v="12"/>
    <n v="41.3"/>
    <x v="1537"/>
    <x v="73"/>
    <d v="2025-03-17T00:00:00"/>
    <x v="2"/>
    <x v="3"/>
    <x v="2"/>
    <x v="0"/>
    <x v="1"/>
    <x v="1"/>
    <x v="10"/>
    <x v="2"/>
  </r>
  <r>
    <s v="TX502006"/>
    <x v="8"/>
    <x v="1"/>
    <n v="15.3"/>
    <x v="1538"/>
    <x v="73"/>
    <d v="2025-03-18T00:00:00"/>
    <x v="0"/>
    <x v="2"/>
    <x v="2"/>
    <x v="0"/>
    <x v="1"/>
    <x v="2"/>
    <x v="10"/>
    <x v="0"/>
  </r>
  <r>
    <s v="TX502007"/>
    <x v="1"/>
    <x v="0"/>
    <n v="54.6"/>
    <x v="1539"/>
    <x v="73"/>
    <d v="2025-03-17T00:00:00"/>
    <x v="1"/>
    <x v="1"/>
    <x v="1"/>
    <x v="0"/>
    <x v="2"/>
    <x v="1"/>
    <x v="10"/>
    <x v="1"/>
  </r>
  <r>
    <s v="TX502008"/>
    <x v="8"/>
    <x v="0"/>
    <n v="15.9"/>
    <x v="1021"/>
    <x v="73"/>
    <d v="2025-03-16T00:00:00"/>
    <x v="1"/>
    <x v="0"/>
    <x v="1"/>
    <x v="0"/>
    <x v="22"/>
    <x v="3"/>
    <x v="10"/>
    <x v="1"/>
  </r>
  <r>
    <s v="TX502009"/>
    <x v="9"/>
    <x v="0"/>
    <n v="50.2"/>
    <x v="486"/>
    <x v="73"/>
    <d v="2025-03-17T00:00:00"/>
    <x v="2"/>
    <x v="3"/>
    <x v="2"/>
    <x v="0"/>
    <x v="34"/>
    <x v="1"/>
    <x v="10"/>
    <x v="2"/>
  </r>
  <r>
    <s v="TX502010"/>
    <x v="11"/>
    <x v="12"/>
    <n v="85.1"/>
    <x v="1540"/>
    <x v="73"/>
    <d v="2025-03-16T00:00:00"/>
    <x v="2"/>
    <x v="3"/>
    <x v="4"/>
    <x v="0"/>
    <x v="34"/>
    <x v="3"/>
    <x v="10"/>
    <x v="2"/>
  </r>
  <r>
    <s v="TX502011"/>
    <x v="11"/>
    <x v="1"/>
    <n v="41.4"/>
    <x v="1182"/>
    <x v="73"/>
    <d v="2025-03-16T00:00:00"/>
    <x v="2"/>
    <x v="0"/>
    <x v="2"/>
    <x v="0"/>
    <x v="3"/>
    <x v="3"/>
    <x v="10"/>
    <x v="2"/>
  </r>
  <r>
    <s v="TX502012"/>
    <x v="4"/>
    <x v="3"/>
    <n v="32.700000000000003"/>
    <x v="1541"/>
    <x v="73"/>
    <d v="2025-03-16T00:00:00"/>
    <x v="2"/>
    <x v="2"/>
    <x v="1"/>
    <x v="0"/>
    <x v="3"/>
    <x v="3"/>
    <x v="10"/>
    <x v="2"/>
  </r>
  <r>
    <s v="TX502013"/>
    <x v="4"/>
    <x v="1"/>
    <n v="41.6"/>
    <x v="707"/>
    <x v="73"/>
    <d v="2025-03-17T00:00:00"/>
    <x v="1"/>
    <x v="4"/>
    <x v="1"/>
    <x v="0"/>
    <x v="3"/>
    <x v="1"/>
    <x v="10"/>
    <x v="1"/>
  </r>
  <r>
    <s v="TX502014"/>
    <x v="5"/>
    <x v="12"/>
    <n v="64.8"/>
    <x v="629"/>
    <x v="73"/>
    <d v="2025-03-16T00:00:00"/>
    <x v="0"/>
    <x v="2"/>
    <x v="0"/>
    <x v="0"/>
    <x v="3"/>
    <x v="3"/>
    <x v="10"/>
    <x v="0"/>
  </r>
  <r>
    <s v="TX502015"/>
    <x v="15"/>
    <x v="1"/>
    <n v="33.6"/>
    <x v="863"/>
    <x v="73"/>
    <d v="2025-03-16T00:00:00"/>
    <x v="1"/>
    <x v="0"/>
    <x v="2"/>
    <x v="0"/>
    <x v="3"/>
    <x v="3"/>
    <x v="10"/>
    <x v="1"/>
  </r>
  <r>
    <s v="TX502016"/>
    <x v="6"/>
    <x v="2"/>
    <n v="100.7"/>
    <x v="1542"/>
    <x v="73"/>
    <d v="2025-03-16T00:00:00"/>
    <x v="0"/>
    <x v="1"/>
    <x v="0"/>
    <x v="0"/>
    <x v="3"/>
    <x v="3"/>
    <x v="10"/>
    <x v="0"/>
  </r>
  <r>
    <s v="TX502017"/>
    <x v="4"/>
    <x v="1"/>
    <n v="49.3"/>
    <x v="1543"/>
    <x v="74"/>
    <d v="2025-03-18T00:00:00"/>
    <x v="2"/>
    <x v="4"/>
    <x v="2"/>
    <x v="0"/>
    <x v="3"/>
    <x v="1"/>
    <x v="11"/>
    <x v="2"/>
  </r>
  <r>
    <s v="TX502018"/>
    <x v="2"/>
    <x v="13"/>
    <n v="97"/>
    <x v="1544"/>
    <x v="74"/>
    <d v="2025-03-19T00:00:00"/>
    <x v="1"/>
    <x v="2"/>
    <x v="2"/>
    <x v="0"/>
    <x v="3"/>
    <x v="2"/>
    <x v="11"/>
    <x v="1"/>
  </r>
  <r>
    <s v="TX502019"/>
    <x v="0"/>
    <x v="13"/>
    <n v="25.2"/>
    <x v="277"/>
    <x v="74"/>
    <d v="2025-03-19T00:00:00"/>
    <x v="2"/>
    <x v="4"/>
    <x v="2"/>
    <x v="0"/>
    <x v="3"/>
    <x v="2"/>
    <x v="11"/>
    <x v="2"/>
  </r>
  <r>
    <s v="TX502020"/>
    <x v="0"/>
    <x v="5"/>
    <n v="12.2"/>
    <x v="1545"/>
    <x v="74"/>
    <d v="2025-03-17T00:00:00"/>
    <x v="0"/>
    <x v="0"/>
    <x v="1"/>
    <x v="0"/>
    <x v="3"/>
    <x v="3"/>
    <x v="11"/>
    <x v="0"/>
  </r>
  <r>
    <s v="TX502021"/>
    <x v="8"/>
    <x v="3"/>
    <n v="38.799999999999997"/>
    <x v="1546"/>
    <x v="74"/>
    <d v="2025-03-18T00:00:00"/>
    <x v="2"/>
    <x v="1"/>
    <x v="1"/>
    <x v="0"/>
    <x v="23"/>
    <x v="1"/>
    <x v="11"/>
    <x v="2"/>
  </r>
  <r>
    <s v="TX502022"/>
    <x v="2"/>
    <x v="12"/>
    <n v="53.2"/>
    <x v="1547"/>
    <x v="74"/>
    <d v="2025-03-17T00:00:00"/>
    <x v="1"/>
    <x v="0"/>
    <x v="2"/>
    <x v="0"/>
    <x v="8"/>
    <x v="3"/>
    <x v="11"/>
    <x v="1"/>
  </r>
  <r>
    <s v="TX502023"/>
    <x v="6"/>
    <x v="3"/>
    <n v="151"/>
    <x v="1548"/>
    <x v="74"/>
    <d v="2025-03-17T00:00:00"/>
    <x v="3"/>
    <x v="1"/>
    <x v="1"/>
    <x v="0"/>
    <x v="8"/>
    <x v="3"/>
    <x v="11"/>
    <x v="3"/>
  </r>
  <r>
    <s v="TX502024"/>
    <x v="1"/>
    <x v="1"/>
    <n v="37.1"/>
    <x v="1314"/>
    <x v="74"/>
    <d v="2025-03-17T00:00:00"/>
    <x v="2"/>
    <x v="4"/>
    <x v="0"/>
    <x v="0"/>
    <x v="8"/>
    <x v="3"/>
    <x v="11"/>
    <x v="2"/>
  </r>
  <r>
    <s v="TX502025"/>
    <x v="5"/>
    <x v="1"/>
    <n v="38.9"/>
    <x v="482"/>
    <x v="74"/>
    <d v="2025-03-17T00:00:00"/>
    <x v="1"/>
    <x v="4"/>
    <x v="0"/>
    <x v="0"/>
    <x v="8"/>
    <x v="3"/>
    <x v="11"/>
    <x v="1"/>
  </r>
  <r>
    <s v="TX502026"/>
    <x v="10"/>
    <x v="1"/>
    <n v="35.200000000000003"/>
    <x v="1549"/>
    <x v="74"/>
    <d v="2025-03-17T00:00:00"/>
    <x v="1"/>
    <x v="0"/>
    <x v="2"/>
    <x v="0"/>
    <x v="17"/>
    <x v="3"/>
    <x v="11"/>
    <x v="1"/>
  </r>
  <r>
    <s v="TX502027"/>
    <x v="0"/>
    <x v="1"/>
    <n v="22.3"/>
    <x v="225"/>
    <x v="74"/>
    <d v="2025-03-18T00:00:00"/>
    <x v="2"/>
    <x v="1"/>
    <x v="0"/>
    <x v="0"/>
    <x v="9"/>
    <x v="1"/>
    <x v="11"/>
    <x v="2"/>
  </r>
  <r>
    <s v="TX502028"/>
    <x v="9"/>
    <x v="0"/>
    <n v="43.3"/>
    <x v="1286"/>
    <x v="74"/>
    <d v="2025-03-19T00:00:00"/>
    <x v="2"/>
    <x v="0"/>
    <x v="2"/>
    <x v="0"/>
    <x v="11"/>
    <x v="2"/>
    <x v="11"/>
    <x v="2"/>
  </r>
  <r>
    <s v="TX502029"/>
    <x v="6"/>
    <x v="13"/>
    <n v="75.900000000000006"/>
    <x v="1550"/>
    <x v="74"/>
    <d v="2025-03-22T00:00:00"/>
    <x v="1"/>
    <x v="0"/>
    <x v="0"/>
    <x v="0"/>
    <x v="11"/>
    <x v="4"/>
    <x v="11"/>
    <x v="1"/>
  </r>
  <r>
    <s v="TX502030"/>
    <x v="6"/>
    <x v="2"/>
    <n v="78.7"/>
    <x v="1551"/>
    <x v="74"/>
    <d v="2025-03-20T00:00:00"/>
    <x v="2"/>
    <x v="2"/>
    <x v="1"/>
    <x v="0"/>
    <x v="11"/>
    <x v="5"/>
    <x v="11"/>
    <x v="2"/>
  </r>
  <r>
    <s v="TX502031"/>
    <x v="1"/>
    <x v="0"/>
    <n v="66.3"/>
    <x v="1124"/>
    <x v="74"/>
    <d v="2025-03-20T00:00:00"/>
    <x v="2"/>
    <x v="0"/>
    <x v="2"/>
    <x v="0"/>
    <x v="19"/>
    <x v="5"/>
    <x v="11"/>
    <x v="2"/>
  </r>
  <r>
    <s v="TX502032"/>
    <x v="8"/>
    <x v="1"/>
    <n v="33.6"/>
    <x v="863"/>
    <x v="74"/>
    <d v="2025-03-16T00:00:00"/>
    <x v="1"/>
    <x v="0"/>
    <x v="1"/>
    <x v="0"/>
    <x v="19"/>
    <x v="7"/>
    <x v="11"/>
    <x v="1"/>
  </r>
  <r>
    <s v="TX502033"/>
    <x v="2"/>
    <x v="3"/>
    <n v="61.4"/>
    <x v="1552"/>
    <x v="74"/>
    <d v="2025-03-17T00:00:00"/>
    <x v="1"/>
    <x v="4"/>
    <x v="0"/>
    <x v="0"/>
    <x v="19"/>
    <x v="3"/>
    <x v="11"/>
    <x v="1"/>
  </r>
  <r>
    <s v="TX502034"/>
    <x v="8"/>
    <x v="1"/>
    <n v="17.5"/>
    <x v="1553"/>
    <x v="74"/>
    <d v="2025-03-19T00:00:00"/>
    <x v="2"/>
    <x v="0"/>
    <x v="0"/>
    <x v="0"/>
    <x v="21"/>
    <x v="2"/>
    <x v="11"/>
    <x v="2"/>
  </r>
  <r>
    <s v="TX502035"/>
    <x v="8"/>
    <x v="1"/>
    <n v="32.5"/>
    <x v="891"/>
    <x v="74"/>
    <d v="2025-03-19T00:00:00"/>
    <x v="2"/>
    <x v="1"/>
    <x v="0"/>
    <x v="0"/>
    <x v="21"/>
    <x v="2"/>
    <x v="11"/>
    <x v="2"/>
  </r>
  <r>
    <s v="TX502036"/>
    <x v="4"/>
    <x v="0"/>
    <n v="34.6"/>
    <x v="169"/>
    <x v="74"/>
    <d v="2025-03-17T00:00:00"/>
    <x v="2"/>
    <x v="4"/>
    <x v="0"/>
    <x v="0"/>
    <x v="21"/>
    <x v="3"/>
    <x v="11"/>
    <x v="2"/>
  </r>
  <r>
    <s v="TX502037"/>
    <x v="2"/>
    <x v="0"/>
    <n v="75.900000000000006"/>
    <x v="1554"/>
    <x v="74"/>
    <d v="2025-03-16T00:00:00"/>
    <x v="1"/>
    <x v="1"/>
    <x v="2"/>
    <x v="0"/>
    <x v="21"/>
    <x v="7"/>
    <x v="11"/>
    <x v="1"/>
  </r>
  <r>
    <s v="TX502038"/>
    <x v="1"/>
    <x v="2"/>
    <n v="42.1"/>
    <x v="1555"/>
    <x v="74"/>
    <d v="2025-03-19T00:00:00"/>
    <x v="1"/>
    <x v="1"/>
    <x v="1"/>
    <x v="0"/>
    <x v="21"/>
    <x v="2"/>
    <x v="11"/>
    <x v="1"/>
  </r>
  <r>
    <s v="TX502039"/>
    <x v="7"/>
    <x v="2"/>
    <n v="65.3"/>
    <x v="243"/>
    <x v="74"/>
    <d v="2025-03-23T00:00:00"/>
    <x v="1"/>
    <x v="0"/>
    <x v="0"/>
    <x v="0"/>
    <x v="1"/>
    <x v="6"/>
    <x v="11"/>
    <x v="1"/>
  </r>
  <r>
    <s v="TX502040"/>
    <x v="15"/>
    <x v="0"/>
    <n v="20.6"/>
    <x v="1500"/>
    <x v="74"/>
    <d v="2025-03-19T00:00:00"/>
    <x v="1"/>
    <x v="3"/>
    <x v="0"/>
    <x v="0"/>
    <x v="42"/>
    <x v="2"/>
    <x v="11"/>
    <x v="1"/>
  </r>
  <r>
    <s v="TX502041"/>
    <x v="8"/>
    <x v="3"/>
    <n v="16.5"/>
    <x v="100"/>
    <x v="74"/>
    <d v="2025-03-17T00:00:00"/>
    <x v="1"/>
    <x v="1"/>
    <x v="1"/>
    <x v="0"/>
    <x v="2"/>
    <x v="3"/>
    <x v="11"/>
    <x v="1"/>
  </r>
  <r>
    <s v="TX502042"/>
    <x v="16"/>
    <x v="7"/>
    <n v="36.200000000000003"/>
    <x v="1556"/>
    <x v="74"/>
    <d v="2025-03-18T00:00:00"/>
    <x v="1"/>
    <x v="0"/>
    <x v="2"/>
    <x v="0"/>
    <x v="2"/>
    <x v="1"/>
    <x v="11"/>
    <x v="1"/>
  </r>
  <r>
    <s v="TX502043"/>
    <x v="6"/>
    <x v="0"/>
    <n v="53.2"/>
    <x v="1557"/>
    <x v="74"/>
    <d v="2025-03-17T00:00:00"/>
    <x v="2"/>
    <x v="0"/>
    <x v="1"/>
    <x v="0"/>
    <x v="22"/>
    <x v="3"/>
    <x v="11"/>
    <x v="2"/>
  </r>
  <r>
    <s v="TX502044"/>
    <x v="2"/>
    <x v="21"/>
    <n v="176"/>
    <x v="1558"/>
    <x v="74"/>
    <d v="2025-03-17T00:00:00"/>
    <x v="2"/>
    <x v="0"/>
    <x v="1"/>
    <x v="0"/>
    <x v="3"/>
    <x v="3"/>
    <x v="11"/>
    <x v="2"/>
  </r>
  <r>
    <s v="TX502045"/>
    <x v="1"/>
    <x v="0"/>
    <n v="52.4"/>
    <x v="1559"/>
    <x v="74"/>
    <d v="2025-03-17T00:00:00"/>
    <x v="1"/>
    <x v="1"/>
    <x v="0"/>
    <x v="0"/>
    <x v="3"/>
    <x v="3"/>
    <x v="11"/>
    <x v="1"/>
  </r>
  <r>
    <s v="TX502046"/>
    <x v="10"/>
    <x v="2"/>
    <n v="48.2"/>
    <x v="1435"/>
    <x v="74"/>
    <d v="2025-03-17T00:00:00"/>
    <x v="2"/>
    <x v="1"/>
    <x v="2"/>
    <x v="0"/>
    <x v="3"/>
    <x v="3"/>
    <x v="11"/>
    <x v="2"/>
  </r>
  <r>
    <s v="TX502047"/>
    <x v="15"/>
    <x v="0"/>
    <n v="51.6"/>
    <x v="937"/>
    <x v="74"/>
    <d v="2025-03-20T00:00:00"/>
    <x v="2"/>
    <x v="2"/>
    <x v="1"/>
    <x v="0"/>
    <x v="3"/>
    <x v="5"/>
    <x v="11"/>
    <x v="2"/>
  </r>
  <r>
    <s v="TX502048"/>
    <x v="0"/>
    <x v="12"/>
    <n v="33.700000000000003"/>
    <x v="1093"/>
    <x v="75"/>
    <d v="2025-03-18T00:00:00"/>
    <x v="1"/>
    <x v="0"/>
    <x v="0"/>
    <x v="0"/>
    <x v="3"/>
    <x v="3"/>
    <x v="11"/>
    <x v="1"/>
  </r>
  <r>
    <s v="TX502049"/>
    <x v="4"/>
    <x v="7"/>
    <n v="36.299999999999997"/>
    <x v="1560"/>
    <x v="75"/>
    <d v="2025-03-19T00:00:00"/>
    <x v="2"/>
    <x v="4"/>
    <x v="1"/>
    <x v="0"/>
    <x v="3"/>
    <x v="1"/>
    <x v="11"/>
    <x v="2"/>
  </r>
  <r>
    <s v="TX502050"/>
    <x v="8"/>
    <x v="0"/>
    <n v="23.4"/>
    <x v="1561"/>
    <x v="75"/>
    <d v="2025-03-22T00:00:00"/>
    <x v="2"/>
    <x v="1"/>
    <x v="2"/>
    <x v="0"/>
    <x v="3"/>
    <x v="0"/>
    <x v="11"/>
    <x v="2"/>
  </r>
  <r>
    <s v="TX502051"/>
    <x v="15"/>
    <x v="8"/>
    <n v="56.6"/>
    <x v="1562"/>
    <x v="75"/>
    <d v="2025-03-19T00:00:00"/>
    <x v="2"/>
    <x v="1"/>
    <x v="0"/>
    <x v="0"/>
    <x v="3"/>
    <x v="1"/>
    <x v="11"/>
    <x v="2"/>
  </r>
  <r>
    <s v="TX502052"/>
    <x v="15"/>
    <x v="1"/>
    <n v="26.8"/>
    <x v="1563"/>
    <x v="75"/>
    <d v="2025-03-18T00:00:00"/>
    <x v="1"/>
    <x v="0"/>
    <x v="0"/>
    <x v="0"/>
    <x v="4"/>
    <x v="3"/>
    <x v="11"/>
    <x v="1"/>
  </r>
  <r>
    <s v="TX502053"/>
    <x v="0"/>
    <x v="2"/>
    <n v="11.3"/>
    <x v="1564"/>
    <x v="75"/>
    <d v="2025-03-19T00:00:00"/>
    <x v="1"/>
    <x v="2"/>
    <x v="0"/>
    <x v="0"/>
    <x v="25"/>
    <x v="1"/>
    <x v="11"/>
    <x v="1"/>
  </r>
  <r>
    <s v="TX502054"/>
    <x v="6"/>
    <x v="2"/>
    <n v="60.1"/>
    <x v="1565"/>
    <x v="75"/>
    <d v="2025-03-20T00:00:00"/>
    <x v="2"/>
    <x v="0"/>
    <x v="0"/>
    <x v="0"/>
    <x v="7"/>
    <x v="2"/>
    <x v="11"/>
    <x v="2"/>
  </r>
  <r>
    <s v="TX502055"/>
    <x v="0"/>
    <x v="5"/>
    <n v="27.7"/>
    <x v="1566"/>
    <x v="75"/>
    <d v="2025-03-22T00:00:00"/>
    <x v="2"/>
    <x v="0"/>
    <x v="0"/>
    <x v="0"/>
    <x v="8"/>
    <x v="0"/>
    <x v="11"/>
    <x v="2"/>
  </r>
  <r>
    <s v="TX502056"/>
    <x v="15"/>
    <x v="0"/>
    <n v="71.400000000000006"/>
    <x v="660"/>
    <x v="75"/>
    <d v="2025-03-20T00:00:00"/>
    <x v="1"/>
    <x v="0"/>
    <x v="2"/>
    <x v="0"/>
    <x v="8"/>
    <x v="2"/>
    <x v="11"/>
    <x v="1"/>
  </r>
  <r>
    <s v="TX502057"/>
    <x v="2"/>
    <x v="1"/>
    <n v="66.7"/>
    <x v="1567"/>
    <x v="75"/>
    <d v="2025-03-18T00:00:00"/>
    <x v="2"/>
    <x v="0"/>
    <x v="2"/>
    <x v="0"/>
    <x v="8"/>
    <x v="3"/>
    <x v="11"/>
    <x v="2"/>
  </r>
  <r>
    <s v="TX502058"/>
    <x v="13"/>
    <x v="9"/>
    <n v="39.1"/>
    <x v="1568"/>
    <x v="75"/>
    <d v="2025-03-18T00:00:00"/>
    <x v="2"/>
    <x v="0"/>
    <x v="0"/>
    <x v="0"/>
    <x v="8"/>
    <x v="3"/>
    <x v="11"/>
    <x v="2"/>
  </r>
  <r>
    <s v="TX502059"/>
    <x v="8"/>
    <x v="12"/>
    <n v="24.9"/>
    <x v="1569"/>
    <x v="75"/>
    <d v="2025-03-22T00:00:00"/>
    <x v="1"/>
    <x v="1"/>
    <x v="2"/>
    <x v="0"/>
    <x v="8"/>
    <x v="0"/>
    <x v="11"/>
    <x v="1"/>
  </r>
  <r>
    <s v="TX502060"/>
    <x v="5"/>
    <x v="9"/>
    <n v="29.2"/>
    <x v="1570"/>
    <x v="75"/>
    <d v="2025-03-18T00:00:00"/>
    <x v="1"/>
    <x v="0"/>
    <x v="2"/>
    <x v="0"/>
    <x v="17"/>
    <x v="3"/>
    <x v="11"/>
    <x v="1"/>
  </r>
  <r>
    <s v="TX502061"/>
    <x v="13"/>
    <x v="21"/>
    <n v="28.3"/>
    <x v="1571"/>
    <x v="75"/>
    <d v="2025-03-19T00:00:00"/>
    <x v="2"/>
    <x v="1"/>
    <x v="0"/>
    <x v="0"/>
    <x v="11"/>
    <x v="1"/>
    <x v="11"/>
    <x v="2"/>
  </r>
  <r>
    <s v="TX502062"/>
    <x v="9"/>
    <x v="2"/>
    <n v="37.799999999999997"/>
    <x v="1413"/>
    <x v="75"/>
    <d v="2025-03-18T00:00:00"/>
    <x v="2"/>
    <x v="0"/>
    <x v="1"/>
    <x v="0"/>
    <x v="11"/>
    <x v="3"/>
    <x v="11"/>
    <x v="2"/>
  </r>
  <r>
    <s v="TX502063"/>
    <x v="14"/>
    <x v="3"/>
    <n v="28.1"/>
    <x v="1572"/>
    <x v="75"/>
    <d v="2025-03-23T00:00:00"/>
    <x v="2"/>
    <x v="2"/>
    <x v="0"/>
    <x v="0"/>
    <x v="11"/>
    <x v="4"/>
    <x v="11"/>
    <x v="2"/>
  </r>
  <r>
    <s v="TX502064"/>
    <x v="1"/>
    <x v="2"/>
    <n v="59.7"/>
    <x v="1573"/>
    <x v="75"/>
    <d v="2025-03-19T00:00:00"/>
    <x v="2"/>
    <x v="2"/>
    <x v="0"/>
    <x v="0"/>
    <x v="11"/>
    <x v="1"/>
    <x v="11"/>
    <x v="2"/>
  </r>
  <r>
    <s v="TX502065"/>
    <x v="16"/>
    <x v="0"/>
    <n v="71.900000000000006"/>
    <x v="1574"/>
    <x v="75"/>
    <d v="2025-03-18T00:00:00"/>
    <x v="1"/>
    <x v="1"/>
    <x v="1"/>
    <x v="0"/>
    <x v="11"/>
    <x v="3"/>
    <x v="11"/>
    <x v="1"/>
  </r>
  <r>
    <s v="TX502066"/>
    <x v="1"/>
    <x v="1"/>
    <n v="56.9"/>
    <x v="1575"/>
    <x v="75"/>
    <d v="2025-03-18T00:00:00"/>
    <x v="1"/>
    <x v="2"/>
    <x v="0"/>
    <x v="0"/>
    <x v="13"/>
    <x v="3"/>
    <x v="11"/>
    <x v="1"/>
  </r>
  <r>
    <s v="TX502067"/>
    <x v="8"/>
    <x v="1"/>
    <n v="15.8"/>
    <x v="35"/>
    <x v="75"/>
    <d v="2025-03-20T00:00:00"/>
    <x v="2"/>
    <x v="2"/>
    <x v="1"/>
    <x v="0"/>
    <x v="1"/>
    <x v="2"/>
    <x v="11"/>
    <x v="2"/>
  </r>
  <r>
    <s v="TX502068"/>
    <x v="11"/>
    <x v="12"/>
    <n v="61.7"/>
    <x v="1576"/>
    <x v="75"/>
    <d v="2025-03-19T00:00:00"/>
    <x v="2"/>
    <x v="2"/>
    <x v="0"/>
    <x v="0"/>
    <x v="22"/>
    <x v="1"/>
    <x v="11"/>
    <x v="2"/>
  </r>
  <r>
    <s v="TX502069"/>
    <x v="2"/>
    <x v="7"/>
    <n v="105.2"/>
    <x v="1577"/>
    <x v="75"/>
    <d v="2025-03-19T00:00:00"/>
    <x v="1"/>
    <x v="1"/>
    <x v="4"/>
    <x v="0"/>
    <x v="3"/>
    <x v="1"/>
    <x v="11"/>
    <x v="1"/>
  </r>
  <r>
    <s v="TX502070"/>
    <x v="0"/>
    <x v="1"/>
    <n v="17"/>
    <x v="1222"/>
    <x v="75"/>
    <d v="2025-03-19T00:00:00"/>
    <x v="2"/>
    <x v="2"/>
    <x v="0"/>
    <x v="0"/>
    <x v="3"/>
    <x v="1"/>
    <x v="11"/>
    <x v="2"/>
  </r>
  <r>
    <s v="TX502071"/>
    <x v="6"/>
    <x v="2"/>
    <n v="84.1"/>
    <x v="1578"/>
    <x v="75"/>
    <d v="2025-03-18T00:00:00"/>
    <x v="1"/>
    <x v="2"/>
    <x v="0"/>
    <x v="0"/>
    <x v="3"/>
    <x v="3"/>
    <x v="11"/>
    <x v="1"/>
  </r>
  <r>
    <s v="TX502072"/>
    <x v="3"/>
    <x v="12"/>
    <n v="59.5"/>
    <x v="1248"/>
    <x v="75"/>
    <d v="2025-03-22T00:00:00"/>
    <x v="1"/>
    <x v="0"/>
    <x v="2"/>
    <x v="0"/>
    <x v="3"/>
    <x v="0"/>
    <x v="11"/>
    <x v="1"/>
  </r>
  <r>
    <s v="TX502073"/>
    <x v="8"/>
    <x v="1"/>
    <n v="57.5"/>
    <x v="1579"/>
    <x v="75"/>
    <d v="2025-03-19T00:00:00"/>
    <x v="1"/>
    <x v="1"/>
    <x v="2"/>
    <x v="0"/>
    <x v="3"/>
    <x v="1"/>
    <x v="11"/>
    <x v="1"/>
  </r>
  <r>
    <s v="TX502074"/>
    <x v="8"/>
    <x v="0"/>
    <n v="34.299999999999997"/>
    <x v="1580"/>
    <x v="75"/>
    <d v="2025-03-18T00:00:00"/>
    <x v="2"/>
    <x v="4"/>
    <x v="2"/>
    <x v="0"/>
    <x v="3"/>
    <x v="3"/>
    <x v="11"/>
    <x v="2"/>
  </r>
  <r>
    <s v="TX502075"/>
    <x v="5"/>
    <x v="1"/>
    <n v="27.8"/>
    <x v="1581"/>
    <x v="76"/>
    <d v="2025-03-20T00:00:00"/>
    <x v="2"/>
    <x v="0"/>
    <x v="0"/>
    <x v="0"/>
    <x v="3"/>
    <x v="1"/>
    <x v="11"/>
    <x v="2"/>
  </r>
  <r>
    <s v="TX502076"/>
    <x v="12"/>
    <x v="1"/>
    <n v="85"/>
    <x v="393"/>
    <x v="76"/>
    <d v="2025-03-18T00:00:00"/>
    <x v="1"/>
    <x v="2"/>
    <x v="2"/>
    <x v="0"/>
    <x v="3"/>
    <x v="7"/>
    <x v="11"/>
    <x v="1"/>
  </r>
  <r>
    <s v="TX502077"/>
    <x v="6"/>
    <x v="1"/>
    <n v="95"/>
    <x v="1582"/>
    <x v="76"/>
    <d v="2025-03-20T00:00:00"/>
    <x v="2"/>
    <x v="0"/>
    <x v="0"/>
    <x v="0"/>
    <x v="3"/>
    <x v="1"/>
    <x v="11"/>
    <x v="2"/>
  </r>
  <r>
    <s v="TX502078"/>
    <x v="16"/>
    <x v="1"/>
    <n v="32"/>
    <x v="34"/>
    <x v="76"/>
    <d v="2025-03-20T00:00:00"/>
    <x v="1"/>
    <x v="0"/>
    <x v="1"/>
    <x v="0"/>
    <x v="3"/>
    <x v="1"/>
    <x v="11"/>
    <x v="1"/>
  </r>
  <r>
    <s v="TX502079"/>
    <x v="2"/>
    <x v="1"/>
    <n v="65.2"/>
    <x v="1583"/>
    <x v="76"/>
    <d v="2025-03-19T00:00:00"/>
    <x v="2"/>
    <x v="1"/>
    <x v="0"/>
    <x v="0"/>
    <x v="3"/>
    <x v="3"/>
    <x v="11"/>
    <x v="2"/>
  </r>
  <r>
    <s v="TX502080"/>
    <x v="17"/>
    <x v="12"/>
    <n v="22"/>
    <x v="1155"/>
    <x v="76"/>
    <d v="2025-03-19T00:00:00"/>
    <x v="1"/>
    <x v="1"/>
    <x v="2"/>
    <x v="0"/>
    <x v="3"/>
    <x v="3"/>
    <x v="11"/>
    <x v="1"/>
  </r>
  <r>
    <s v="TX502081"/>
    <x v="15"/>
    <x v="2"/>
    <n v="69.400000000000006"/>
    <x v="140"/>
    <x v="76"/>
    <d v="2025-03-21T00:00:00"/>
    <x v="1"/>
    <x v="1"/>
    <x v="2"/>
    <x v="0"/>
    <x v="3"/>
    <x v="2"/>
    <x v="11"/>
    <x v="1"/>
  </r>
  <r>
    <s v="TX502082"/>
    <x v="10"/>
    <x v="13"/>
    <n v="31.5"/>
    <x v="620"/>
    <x v="76"/>
    <d v="2025-03-20T00:00:00"/>
    <x v="2"/>
    <x v="0"/>
    <x v="2"/>
    <x v="0"/>
    <x v="3"/>
    <x v="1"/>
    <x v="11"/>
    <x v="2"/>
  </r>
  <r>
    <s v="TX502083"/>
    <x v="6"/>
    <x v="0"/>
    <n v="45.8"/>
    <x v="494"/>
    <x v="76"/>
    <d v="2025-03-22T00:00:00"/>
    <x v="3"/>
    <x v="0"/>
    <x v="0"/>
    <x v="0"/>
    <x v="3"/>
    <x v="5"/>
    <x v="11"/>
    <x v="3"/>
  </r>
  <r>
    <s v="TX502084"/>
    <x v="19"/>
    <x v="12"/>
    <n v="12.8"/>
    <x v="180"/>
    <x v="76"/>
    <d v="2025-03-25T00:00:00"/>
    <x v="2"/>
    <x v="1"/>
    <x v="1"/>
    <x v="0"/>
    <x v="5"/>
    <x v="6"/>
    <x v="11"/>
    <x v="2"/>
  </r>
  <r>
    <s v="TX502085"/>
    <x v="5"/>
    <x v="2"/>
    <n v="115.3"/>
    <x v="1584"/>
    <x v="76"/>
    <d v="2025-03-19T00:00:00"/>
    <x v="2"/>
    <x v="2"/>
    <x v="2"/>
    <x v="0"/>
    <x v="6"/>
    <x v="3"/>
    <x v="11"/>
    <x v="2"/>
  </r>
  <r>
    <s v="TX502086"/>
    <x v="5"/>
    <x v="1"/>
    <n v="85"/>
    <x v="393"/>
    <x v="76"/>
    <d v="2025-03-20T00:00:00"/>
    <x v="2"/>
    <x v="1"/>
    <x v="0"/>
    <x v="0"/>
    <x v="7"/>
    <x v="1"/>
    <x v="11"/>
    <x v="2"/>
  </r>
  <r>
    <s v="TX502087"/>
    <x v="8"/>
    <x v="2"/>
    <n v="56.6"/>
    <x v="1026"/>
    <x v="76"/>
    <d v="2025-03-19T00:00:00"/>
    <x v="2"/>
    <x v="1"/>
    <x v="2"/>
    <x v="0"/>
    <x v="7"/>
    <x v="3"/>
    <x v="11"/>
    <x v="2"/>
  </r>
  <r>
    <s v="TX502088"/>
    <x v="15"/>
    <x v="6"/>
    <n v="46.3"/>
    <x v="1585"/>
    <x v="76"/>
    <d v="2025-03-21T00:00:00"/>
    <x v="1"/>
    <x v="0"/>
    <x v="0"/>
    <x v="0"/>
    <x v="7"/>
    <x v="2"/>
    <x v="11"/>
    <x v="1"/>
  </r>
  <r>
    <s v="TX502089"/>
    <x v="14"/>
    <x v="12"/>
    <n v="23"/>
    <x v="988"/>
    <x v="76"/>
    <d v="2025-03-22T00:00:00"/>
    <x v="1"/>
    <x v="3"/>
    <x v="2"/>
    <x v="0"/>
    <x v="7"/>
    <x v="5"/>
    <x v="11"/>
    <x v="1"/>
  </r>
  <r>
    <s v="TX502090"/>
    <x v="8"/>
    <x v="13"/>
    <n v="42.1"/>
    <x v="1586"/>
    <x v="76"/>
    <d v="2025-03-20T00:00:00"/>
    <x v="1"/>
    <x v="4"/>
    <x v="0"/>
    <x v="0"/>
    <x v="8"/>
    <x v="1"/>
    <x v="11"/>
    <x v="1"/>
  </r>
  <r>
    <s v="TX502091"/>
    <x v="5"/>
    <x v="3"/>
    <n v="57.4"/>
    <x v="1587"/>
    <x v="76"/>
    <d v="2025-03-22T00:00:00"/>
    <x v="2"/>
    <x v="1"/>
    <x v="4"/>
    <x v="0"/>
    <x v="8"/>
    <x v="5"/>
    <x v="11"/>
    <x v="2"/>
  </r>
  <r>
    <s v="TX502092"/>
    <x v="0"/>
    <x v="13"/>
    <n v="13.2"/>
    <x v="1113"/>
    <x v="76"/>
    <d v="2025-03-22T00:00:00"/>
    <x v="1"/>
    <x v="2"/>
    <x v="0"/>
    <x v="0"/>
    <x v="8"/>
    <x v="5"/>
    <x v="11"/>
    <x v="1"/>
  </r>
  <r>
    <s v="TX502093"/>
    <x v="6"/>
    <x v="2"/>
    <n v="52.3"/>
    <x v="1588"/>
    <x v="76"/>
    <d v="2025-03-19T00:00:00"/>
    <x v="1"/>
    <x v="1"/>
    <x v="0"/>
    <x v="0"/>
    <x v="8"/>
    <x v="3"/>
    <x v="11"/>
    <x v="1"/>
  </r>
  <r>
    <s v="TX502094"/>
    <x v="8"/>
    <x v="1"/>
    <n v="15.7"/>
    <x v="1323"/>
    <x v="76"/>
    <d v="2025-03-21T00:00:00"/>
    <x v="1"/>
    <x v="1"/>
    <x v="2"/>
    <x v="0"/>
    <x v="8"/>
    <x v="2"/>
    <x v="11"/>
    <x v="1"/>
  </r>
  <r>
    <s v="TX502095"/>
    <x v="7"/>
    <x v="2"/>
    <n v="35"/>
    <x v="211"/>
    <x v="76"/>
    <d v="2025-03-21T00:00:00"/>
    <x v="2"/>
    <x v="1"/>
    <x v="2"/>
    <x v="0"/>
    <x v="9"/>
    <x v="2"/>
    <x v="11"/>
    <x v="2"/>
  </r>
  <r>
    <s v="TX502096"/>
    <x v="4"/>
    <x v="2"/>
    <n v="26.6"/>
    <x v="1589"/>
    <x v="76"/>
    <d v="2025-03-18T00:00:00"/>
    <x v="1"/>
    <x v="1"/>
    <x v="2"/>
    <x v="0"/>
    <x v="11"/>
    <x v="7"/>
    <x v="11"/>
    <x v="1"/>
  </r>
  <r>
    <s v="TX502097"/>
    <x v="4"/>
    <x v="8"/>
    <n v="47.9"/>
    <x v="1590"/>
    <x v="77"/>
    <d v="2025-03-20T00:00:00"/>
    <x v="2"/>
    <x v="3"/>
    <x v="2"/>
    <x v="0"/>
    <x v="20"/>
    <x v="3"/>
    <x v="11"/>
    <x v="2"/>
  </r>
  <r>
    <s v="TX502098"/>
    <x v="5"/>
    <x v="0"/>
    <n v="80.099999999999994"/>
    <x v="1133"/>
    <x v="77"/>
    <d v="2025-03-20T00:00:00"/>
    <x v="1"/>
    <x v="2"/>
    <x v="0"/>
    <x v="0"/>
    <x v="21"/>
    <x v="3"/>
    <x v="11"/>
    <x v="1"/>
  </r>
  <r>
    <s v="TX502099"/>
    <x v="6"/>
    <x v="9"/>
    <n v="50.4"/>
    <x v="816"/>
    <x v="77"/>
    <d v="2025-03-20T00:00:00"/>
    <x v="1"/>
    <x v="1"/>
    <x v="2"/>
    <x v="0"/>
    <x v="21"/>
    <x v="3"/>
    <x v="11"/>
    <x v="1"/>
  </r>
  <r>
    <s v="TX502100"/>
    <x v="10"/>
    <x v="3"/>
    <n v="43.3"/>
    <x v="1591"/>
    <x v="77"/>
    <d v="2025-03-20T00:00:00"/>
    <x v="1"/>
    <x v="2"/>
    <x v="0"/>
    <x v="0"/>
    <x v="21"/>
    <x v="3"/>
    <x v="11"/>
    <x v="1"/>
  </r>
  <r>
    <s v="TX502101"/>
    <x v="10"/>
    <x v="12"/>
    <n v="57.5"/>
    <x v="984"/>
    <x v="77"/>
    <d v="2025-03-20T00:00:00"/>
    <x v="2"/>
    <x v="1"/>
    <x v="2"/>
    <x v="0"/>
    <x v="1"/>
    <x v="3"/>
    <x v="11"/>
    <x v="2"/>
  </r>
  <r>
    <s v="TX502102"/>
    <x v="9"/>
    <x v="15"/>
    <n v="24.8"/>
    <x v="1592"/>
    <x v="77"/>
    <d v="2025-03-20T00:00:00"/>
    <x v="1"/>
    <x v="0"/>
    <x v="0"/>
    <x v="0"/>
    <x v="57"/>
    <x v="3"/>
    <x v="11"/>
    <x v="1"/>
  </r>
  <r>
    <s v="TX502103"/>
    <x v="2"/>
    <x v="11"/>
    <n v="85.7"/>
    <x v="1593"/>
    <x v="77"/>
    <d v="2025-03-20T00:00:00"/>
    <x v="2"/>
    <x v="0"/>
    <x v="0"/>
    <x v="0"/>
    <x v="42"/>
    <x v="3"/>
    <x v="11"/>
    <x v="2"/>
  </r>
  <r>
    <s v="TX502104"/>
    <x v="7"/>
    <x v="0"/>
    <n v="47.1"/>
    <x v="392"/>
    <x v="77"/>
    <d v="2025-03-21T00:00:00"/>
    <x v="2"/>
    <x v="0"/>
    <x v="0"/>
    <x v="0"/>
    <x v="2"/>
    <x v="1"/>
    <x v="11"/>
    <x v="2"/>
  </r>
  <r>
    <s v="TX502105"/>
    <x v="5"/>
    <x v="7"/>
    <n v="83.2"/>
    <x v="1594"/>
    <x v="77"/>
    <d v="2025-03-23T00:00:00"/>
    <x v="2"/>
    <x v="0"/>
    <x v="0"/>
    <x v="0"/>
    <x v="33"/>
    <x v="5"/>
    <x v="11"/>
    <x v="2"/>
  </r>
  <r>
    <s v="TX502106"/>
    <x v="2"/>
    <x v="2"/>
    <n v="157"/>
    <x v="1595"/>
    <x v="77"/>
    <d v="2025-03-21T00:00:00"/>
    <x v="2"/>
    <x v="0"/>
    <x v="2"/>
    <x v="0"/>
    <x v="22"/>
    <x v="1"/>
    <x v="11"/>
    <x v="2"/>
  </r>
  <r>
    <s v="TX502107"/>
    <x v="16"/>
    <x v="12"/>
    <n v="33.700000000000003"/>
    <x v="1093"/>
    <x v="77"/>
    <d v="2025-03-20T00:00:00"/>
    <x v="1"/>
    <x v="2"/>
    <x v="2"/>
    <x v="0"/>
    <x v="22"/>
    <x v="3"/>
    <x v="11"/>
    <x v="1"/>
  </r>
  <r>
    <s v="TX502108"/>
    <x v="2"/>
    <x v="2"/>
    <n v="60.8"/>
    <x v="1596"/>
    <x v="77"/>
    <d v="2025-03-23T00:00:00"/>
    <x v="2"/>
    <x v="1"/>
    <x v="1"/>
    <x v="0"/>
    <x v="3"/>
    <x v="5"/>
    <x v="11"/>
    <x v="2"/>
  </r>
  <r>
    <s v="TX502109"/>
    <x v="7"/>
    <x v="0"/>
    <n v="57.6"/>
    <x v="636"/>
    <x v="77"/>
    <d v="2025-03-20T00:00:00"/>
    <x v="1"/>
    <x v="1"/>
    <x v="4"/>
    <x v="0"/>
    <x v="3"/>
    <x v="3"/>
    <x v="11"/>
    <x v="1"/>
  </r>
  <r>
    <s v="TX502110"/>
    <x v="10"/>
    <x v="0"/>
    <n v="32"/>
    <x v="109"/>
    <x v="77"/>
    <d v="2025-03-21T00:00:00"/>
    <x v="1"/>
    <x v="0"/>
    <x v="0"/>
    <x v="0"/>
    <x v="3"/>
    <x v="1"/>
    <x v="11"/>
    <x v="1"/>
  </r>
  <r>
    <s v="TX502111"/>
    <x v="10"/>
    <x v="12"/>
    <n v="23.5"/>
    <x v="255"/>
    <x v="77"/>
    <d v="2025-03-20T00:00:00"/>
    <x v="2"/>
    <x v="0"/>
    <x v="2"/>
    <x v="0"/>
    <x v="3"/>
    <x v="3"/>
    <x v="11"/>
    <x v="2"/>
  </r>
  <r>
    <s v="TX502112"/>
    <x v="12"/>
    <x v="2"/>
    <n v="44.8"/>
    <x v="1597"/>
    <x v="77"/>
    <d v="2025-03-20T00:00:00"/>
    <x v="3"/>
    <x v="4"/>
    <x v="0"/>
    <x v="0"/>
    <x v="3"/>
    <x v="3"/>
    <x v="11"/>
    <x v="3"/>
  </r>
  <r>
    <s v="TX502113"/>
    <x v="0"/>
    <x v="8"/>
    <n v="11.7"/>
    <x v="64"/>
    <x v="77"/>
    <d v="2025-03-20T00:00:00"/>
    <x v="1"/>
    <x v="2"/>
    <x v="2"/>
    <x v="0"/>
    <x v="3"/>
    <x v="3"/>
    <x v="11"/>
    <x v="1"/>
  </r>
  <r>
    <s v="TX502114"/>
    <x v="7"/>
    <x v="1"/>
    <n v="38.799999999999997"/>
    <x v="1598"/>
    <x v="77"/>
    <d v="2025-03-22T00:00:00"/>
    <x v="2"/>
    <x v="2"/>
    <x v="0"/>
    <x v="0"/>
    <x v="3"/>
    <x v="2"/>
    <x v="11"/>
    <x v="2"/>
  </r>
  <r>
    <s v="TX502115"/>
    <x v="5"/>
    <x v="21"/>
    <n v="86.9"/>
    <x v="1599"/>
    <x v="77"/>
    <d v="2025-03-24T00:00:00"/>
    <x v="2"/>
    <x v="1"/>
    <x v="0"/>
    <x v="0"/>
    <x v="3"/>
    <x v="0"/>
    <x v="11"/>
    <x v="2"/>
  </r>
  <r>
    <s v="TX502116"/>
    <x v="8"/>
    <x v="0"/>
    <n v="18.3"/>
    <x v="1600"/>
    <x v="77"/>
    <d v="2025-03-20T00:00:00"/>
    <x v="2"/>
    <x v="0"/>
    <x v="0"/>
    <x v="0"/>
    <x v="3"/>
    <x v="3"/>
    <x v="11"/>
    <x v="2"/>
  </r>
  <r>
    <s v="TX502117"/>
    <x v="5"/>
    <x v="0"/>
    <n v="47.5"/>
    <x v="1601"/>
    <x v="77"/>
    <d v="2025-03-23T00:00:00"/>
    <x v="1"/>
    <x v="4"/>
    <x v="2"/>
    <x v="0"/>
    <x v="3"/>
    <x v="5"/>
    <x v="11"/>
    <x v="1"/>
  </r>
  <r>
    <s v="TX502118"/>
    <x v="1"/>
    <x v="1"/>
    <n v="78.599999999999994"/>
    <x v="507"/>
    <x v="77"/>
    <d v="2025-03-20T00:00:00"/>
    <x v="1"/>
    <x v="2"/>
    <x v="2"/>
    <x v="0"/>
    <x v="3"/>
    <x v="3"/>
    <x v="11"/>
    <x v="1"/>
  </r>
  <r>
    <s v="TX502119"/>
    <x v="6"/>
    <x v="12"/>
    <n v="87.3"/>
    <x v="1602"/>
    <x v="77"/>
    <d v="2025-03-20T00:00:00"/>
    <x v="1"/>
    <x v="0"/>
    <x v="0"/>
    <x v="0"/>
    <x v="3"/>
    <x v="3"/>
    <x v="11"/>
    <x v="1"/>
  </r>
  <r>
    <s v="TX502120"/>
    <x v="9"/>
    <x v="1"/>
    <n v="63.2"/>
    <x v="628"/>
    <x v="77"/>
    <d v="2025-03-19T00:00:00"/>
    <x v="1"/>
    <x v="4"/>
    <x v="1"/>
    <x v="0"/>
    <x v="3"/>
    <x v="7"/>
    <x v="11"/>
    <x v="1"/>
  </r>
  <r>
    <s v="TX502121"/>
    <x v="5"/>
    <x v="9"/>
    <n v="33.700000000000003"/>
    <x v="1603"/>
    <x v="77"/>
    <d v="2025-03-20T00:00:00"/>
    <x v="2"/>
    <x v="0"/>
    <x v="0"/>
    <x v="0"/>
    <x v="3"/>
    <x v="3"/>
    <x v="11"/>
    <x v="2"/>
  </r>
  <r>
    <s v="TX502122"/>
    <x v="2"/>
    <x v="2"/>
    <n v="107.4"/>
    <x v="1604"/>
    <x v="77"/>
    <d v="2025-04-01T00:00:00"/>
    <x v="2"/>
    <x v="1"/>
    <x v="2"/>
    <x v="0"/>
    <x v="3"/>
    <x v="10"/>
    <x v="11"/>
    <x v="2"/>
  </r>
  <r>
    <s v="TX502123"/>
    <x v="4"/>
    <x v="12"/>
    <n v="22.2"/>
    <x v="1605"/>
    <x v="77"/>
    <d v="2025-03-20T00:00:00"/>
    <x v="0"/>
    <x v="1"/>
    <x v="2"/>
    <x v="0"/>
    <x v="24"/>
    <x v="3"/>
    <x v="11"/>
    <x v="0"/>
  </r>
  <r>
    <s v="TX502124"/>
    <x v="18"/>
    <x v="2"/>
    <n v="52.8"/>
    <x v="1329"/>
    <x v="77"/>
    <d v="2025-03-20T00:00:00"/>
    <x v="1"/>
    <x v="3"/>
    <x v="2"/>
    <x v="0"/>
    <x v="24"/>
    <x v="3"/>
    <x v="11"/>
    <x v="1"/>
  </r>
  <r>
    <s v="TX502125"/>
    <x v="8"/>
    <x v="2"/>
    <n v="41.5"/>
    <x v="376"/>
    <x v="77"/>
    <d v="2025-03-22T00:00:00"/>
    <x v="2"/>
    <x v="0"/>
    <x v="0"/>
    <x v="0"/>
    <x v="25"/>
    <x v="2"/>
    <x v="11"/>
    <x v="2"/>
  </r>
  <r>
    <s v="TX502126"/>
    <x v="12"/>
    <x v="8"/>
    <n v="103.5"/>
    <x v="1606"/>
    <x v="77"/>
    <d v="2025-03-22T00:00:00"/>
    <x v="2"/>
    <x v="0"/>
    <x v="2"/>
    <x v="0"/>
    <x v="23"/>
    <x v="2"/>
    <x v="11"/>
    <x v="2"/>
  </r>
  <r>
    <s v="TX502127"/>
    <x v="4"/>
    <x v="21"/>
    <n v="37.5"/>
    <x v="1469"/>
    <x v="77"/>
    <d v="2025-03-19T00:00:00"/>
    <x v="2"/>
    <x v="1"/>
    <x v="2"/>
    <x v="0"/>
    <x v="6"/>
    <x v="7"/>
    <x v="11"/>
    <x v="2"/>
  </r>
  <r>
    <s v="TX502128"/>
    <x v="15"/>
    <x v="8"/>
    <n v="44.4"/>
    <x v="1607"/>
    <x v="77"/>
    <d v="2025-03-25T00:00:00"/>
    <x v="2"/>
    <x v="3"/>
    <x v="2"/>
    <x v="0"/>
    <x v="7"/>
    <x v="4"/>
    <x v="11"/>
    <x v="2"/>
  </r>
  <r>
    <s v="TX502129"/>
    <x v="8"/>
    <x v="2"/>
    <n v="26.2"/>
    <x v="1608"/>
    <x v="77"/>
    <d v="2025-03-20T00:00:00"/>
    <x v="1"/>
    <x v="0"/>
    <x v="0"/>
    <x v="0"/>
    <x v="8"/>
    <x v="3"/>
    <x v="11"/>
    <x v="1"/>
  </r>
  <r>
    <s v="TX502130"/>
    <x v="1"/>
    <x v="3"/>
    <n v="32.200000000000003"/>
    <x v="1009"/>
    <x v="77"/>
    <d v="2025-03-20T00:00:00"/>
    <x v="2"/>
    <x v="1"/>
    <x v="2"/>
    <x v="0"/>
    <x v="8"/>
    <x v="3"/>
    <x v="11"/>
    <x v="2"/>
  </r>
  <r>
    <s v="TX502131"/>
    <x v="8"/>
    <x v="0"/>
    <n v="17.399999999999999"/>
    <x v="1609"/>
    <x v="77"/>
    <d v="2025-03-23T00:00:00"/>
    <x v="0"/>
    <x v="2"/>
    <x v="1"/>
    <x v="0"/>
    <x v="8"/>
    <x v="5"/>
    <x v="11"/>
    <x v="0"/>
  </r>
  <r>
    <s v="TX502132"/>
    <x v="8"/>
    <x v="13"/>
    <n v="72.3"/>
    <x v="1610"/>
    <x v="77"/>
    <d v="2025-03-22T00:00:00"/>
    <x v="2"/>
    <x v="0"/>
    <x v="0"/>
    <x v="0"/>
    <x v="8"/>
    <x v="2"/>
    <x v="11"/>
    <x v="2"/>
  </r>
  <r>
    <s v="TX502133"/>
    <x v="8"/>
    <x v="5"/>
    <n v="24.3"/>
    <x v="1611"/>
    <x v="77"/>
    <d v="2025-03-20T00:00:00"/>
    <x v="1"/>
    <x v="0"/>
    <x v="0"/>
    <x v="0"/>
    <x v="8"/>
    <x v="3"/>
    <x v="11"/>
    <x v="1"/>
  </r>
  <r>
    <s v="TX502134"/>
    <x v="13"/>
    <x v="2"/>
    <n v="49.1"/>
    <x v="824"/>
    <x v="77"/>
    <d v="2025-03-25T00:00:00"/>
    <x v="1"/>
    <x v="2"/>
    <x v="4"/>
    <x v="0"/>
    <x v="8"/>
    <x v="4"/>
    <x v="11"/>
    <x v="1"/>
  </r>
  <r>
    <s v="TX502135"/>
    <x v="2"/>
    <x v="7"/>
    <n v="234.7"/>
    <x v="1612"/>
    <x v="77"/>
    <d v="2025-03-20T00:00:00"/>
    <x v="1"/>
    <x v="3"/>
    <x v="1"/>
    <x v="0"/>
    <x v="8"/>
    <x v="3"/>
    <x v="11"/>
    <x v="1"/>
  </r>
  <r>
    <s v="TX502136"/>
    <x v="3"/>
    <x v="9"/>
    <n v="76.099999999999994"/>
    <x v="1613"/>
    <x v="77"/>
    <d v="2025-03-21T00:00:00"/>
    <x v="1"/>
    <x v="1"/>
    <x v="1"/>
    <x v="0"/>
    <x v="17"/>
    <x v="1"/>
    <x v="11"/>
    <x v="1"/>
  </r>
  <r>
    <s v="TX502137"/>
    <x v="1"/>
    <x v="2"/>
    <n v="93.9"/>
    <x v="1614"/>
    <x v="77"/>
    <d v="2025-03-20T00:00:00"/>
    <x v="1"/>
    <x v="1"/>
    <x v="4"/>
    <x v="0"/>
    <x v="11"/>
    <x v="3"/>
    <x v="11"/>
    <x v="1"/>
  </r>
  <r>
    <s v="TX502138"/>
    <x v="2"/>
    <x v="12"/>
    <n v="187"/>
    <x v="1615"/>
    <x v="78"/>
    <d v="2025-03-23T00:00:00"/>
    <x v="1"/>
    <x v="0"/>
    <x v="0"/>
    <x v="0"/>
    <x v="11"/>
    <x v="2"/>
    <x v="11"/>
    <x v="1"/>
  </r>
  <r>
    <s v="TX502139"/>
    <x v="8"/>
    <x v="1"/>
    <n v="18"/>
    <x v="53"/>
    <x v="78"/>
    <d v="2025-03-21T00:00:00"/>
    <x v="2"/>
    <x v="1"/>
    <x v="2"/>
    <x v="0"/>
    <x v="53"/>
    <x v="3"/>
    <x v="11"/>
    <x v="2"/>
  </r>
  <r>
    <s v="TX502140"/>
    <x v="4"/>
    <x v="0"/>
    <n v="24.4"/>
    <x v="1616"/>
    <x v="78"/>
    <d v="2025-03-21T00:00:00"/>
    <x v="2"/>
    <x v="4"/>
    <x v="2"/>
    <x v="0"/>
    <x v="21"/>
    <x v="3"/>
    <x v="11"/>
    <x v="2"/>
  </r>
  <r>
    <s v="TX502141"/>
    <x v="10"/>
    <x v="1"/>
    <n v="38.799999999999997"/>
    <x v="1598"/>
    <x v="78"/>
    <d v="2025-03-21T00:00:00"/>
    <x v="1"/>
    <x v="4"/>
    <x v="1"/>
    <x v="0"/>
    <x v="3"/>
    <x v="3"/>
    <x v="11"/>
    <x v="1"/>
  </r>
  <r>
    <s v="TX502142"/>
    <x v="3"/>
    <x v="0"/>
    <n v="59.7"/>
    <x v="1201"/>
    <x v="78"/>
    <d v="2025-03-23T00:00:00"/>
    <x v="1"/>
    <x v="3"/>
    <x v="0"/>
    <x v="0"/>
    <x v="3"/>
    <x v="2"/>
    <x v="11"/>
    <x v="1"/>
  </r>
  <r>
    <s v="TX502143"/>
    <x v="7"/>
    <x v="0"/>
    <n v="31.2"/>
    <x v="406"/>
    <x v="78"/>
    <d v="2025-03-21T00:00:00"/>
    <x v="1"/>
    <x v="1"/>
    <x v="2"/>
    <x v="0"/>
    <x v="3"/>
    <x v="3"/>
    <x v="11"/>
    <x v="1"/>
  </r>
  <r>
    <s v="TX502144"/>
    <x v="0"/>
    <x v="0"/>
    <n v="16.8"/>
    <x v="749"/>
    <x v="78"/>
    <d v="2025-03-21T00:00:00"/>
    <x v="2"/>
    <x v="2"/>
    <x v="1"/>
    <x v="0"/>
    <x v="3"/>
    <x v="3"/>
    <x v="11"/>
    <x v="2"/>
  </r>
  <r>
    <s v="TX502145"/>
    <x v="8"/>
    <x v="0"/>
    <n v="46"/>
    <x v="716"/>
    <x v="78"/>
    <d v="2025-03-21T00:00:00"/>
    <x v="1"/>
    <x v="0"/>
    <x v="0"/>
    <x v="0"/>
    <x v="3"/>
    <x v="3"/>
    <x v="11"/>
    <x v="1"/>
  </r>
  <r>
    <s v="TX502146"/>
    <x v="9"/>
    <x v="8"/>
    <n v="42.2"/>
    <x v="1617"/>
    <x v="78"/>
    <d v="2025-03-23T00:00:00"/>
    <x v="2"/>
    <x v="3"/>
    <x v="2"/>
    <x v="0"/>
    <x v="3"/>
    <x v="2"/>
    <x v="11"/>
    <x v="2"/>
  </r>
  <r>
    <s v="TX502147"/>
    <x v="1"/>
    <x v="2"/>
    <n v="71.5"/>
    <x v="523"/>
    <x v="78"/>
    <d v="2025-04-03T00:00:00"/>
    <x v="2"/>
    <x v="0"/>
    <x v="0"/>
    <x v="0"/>
    <x v="3"/>
    <x v="12"/>
    <x v="11"/>
    <x v="2"/>
  </r>
  <r>
    <s v="TX502148"/>
    <x v="1"/>
    <x v="1"/>
    <n v="76.599999999999994"/>
    <x v="1618"/>
    <x v="78"/>
    <d v="2025-03-20T00:00:00"/>
    <x v="1"/>
    <x v="0"/>
    <x v="2"/>
    <x v="0"/>
    <x v="3"/>
    <x v="7"/>
    <x v="11"/>
    <x v="1"/>
  </r>
  <r>
    <s v="TX502149"/>
    <x v="12"/>
    <x v="1"/>
    <n v="87.3"/>
    <x v="1619"/>
    <x v="78"/>
    <d v="2025-03-28T00:00:00"/>
    <x v="2"/>
    <x v="3"/>
    <x v="2"/>
    <x v="0"/>
    <x v="3"/>
    <x v="9"/>
    <x v="11"/>
    <x v="2"/>
  </r>
  <r>
    <s v="TX502150"/>
    <x v="1"/>
    <x v="0"/>
    <n v="63"/>
    <x v="1620"/>
    <x v="78"/>
    <d v="2025-03-23T00:00:00"/>
    <x v="1"/>
    <x v="3"/>
    <x v="0"/>
    <x v="0"/>
    <x v="3"/>
    <x v="2"/>
    <x v="11"/>
    <x v="1"/>
  </r>
  <r>
    <s v="TX502151"/>
    <x v="8"/>
    <x v="1"/>
    <n v="41.7"/>
    <x v="925"/>
    <x v="78"/>
    <d v="2025-03-21T00:00:00"/>
    <x v="2"/>
    <x v="4"/>
    <x v="1"/>
    <x v="0"/>
    <x v="43"/>
    <x v="3"/>
    <x v="11"/>
    <x v="2"/>
  </r>
  <r>
    <s v="TX502152"/>
    <x v="6"/>
    <x v="1"/>
    <n v="76.099999999999994"/>
    <x v="1621"/>
    <x v="78"/>
    <d v="2025-03-20T00:00:00"/>
    <x v="2"/>
    <x v="4"/>
    <x v="2"/>
    <x v="0"/>
    <x v="16"/>
    <x v="7"/>
    <x v="11"/>
    <x v="2"/>
  </r>
  <r>
    <s v="TX502153"/>
    <x v="13"/>
    <x v="1"/>
    <n v="28.5"/>
    <x v="933"/>
    <x v="78"/>
    <d v="2025-03-21T00:00:00"/>
    <x v="2"/>
    <x v="0"/>
    <x v="2"/>
    <x v="0"/>
    <x v="4"/>
    <x v="3"/>
    <x v="11"/>
    <x v="2"/>
  </r>
  <r>
    <s v="TX502154"/>
    <x v="0"/>
    <x v="12"/>
    <n v="32.1"/>
    <x v="58"/>
    <x v="78"/>
    <d v="2025-03-21T00:00:00"/>
    <x v="2"/>
    <x v="1"/>
    <x v="2"/>
    <x v="0"/>
    <x v="25"/>
    <x v="3"/>
    <x v="11"/>
    <x v="2"/>
  </r>
  <r>
    <s v="TX502155"/>
    <x v="4"/>
    <x v="2"/>
    <n v="39"/>
    <x v="1622"/>
    <x v="78"/>
    <d v="2025-03-23T00:00:00"/>
    <x v="1"/>
    <x v="1"/>
    <x v="2"/>
    <x v="0"/>
    <x v="25"/>
    <x v="2"/>
    <x v="11"/>
    <x v="1"/>
  </r>
  <r>
    <s v="TX502156"/>
    <x v="6"/>
    <x v="0"/>
    <n v="78.5"/>
    <x v="1623"/>
    <x v="78"/>
    <d v="2025-03-21T00:00:00"/>
    <x v="1"/>
    <x v="1"/>
    <x v="0"/>
    <x v="0"/>
    <x v="6"/>
    <x v="3"/>
    <x v="11"/>
    <x v="1"/>
  </r>
  <r>
    <s v="TX502157"/>
    <x v="4"/>
    <x v="9"/>
    <n v="49.7"/>
    <x v="1624"/>
    <x v="78"/>
    <d v="2025-03-22T00:00:00"/>
    <x v="2"/>
    <x v="0"/>
    <x v="0"/>
    <x v="0"/>
    <x v="6"/>
    <x v="1"/>
    <x v="11"/>
    <x v="2"/>
  </r>
  <r>
    <s v="TX502158"/>
    <x v="1"/>
    <x v="12"/>
    <n v="68.400000000000006"/>
    <x v="1625"/>
    <x v="78"/>
    <d v="2025-03-21T00:00:00"/>
    <x v="2"/>
    <x v="2"/>
    <x v="2"/>
    <x v="0"/>
    <x v="7"/>
    <x v="3"/>
    <x v="11"/>
    <x v="2"/>
  </r>
  <r>
    <s v="TX502159"/>
    <x v="3"/>
    <x v="1"/>
    <n v="72.900000000000006"/>
    <x v="1626"/>
    <x v="78"/>
    <d v="2025-03-23T00:00:00"/>
    <x v="0"/>
    <x v="0"/>
    <x v="2"/>
    <x v="0"/>
    <x v="7"/>
    <x v="2"/>
    <x v="11"/>
    <x v="0"/>
  </r>
  <r>
    <s v="TX502160"/>
    <x v="5"/>
    <x v="15"/>
    <n v="30.3"/>
    <x v="1627"/>
    <x v="78"/>
    <d v="2025-03-21T00:00:00"/>
    <x v="1"/>
    <x v="4"/>
    <x v="0"/>
    <x v="0"/>
    <x v="7"/>
    <x v="3"/>
    <x v="11"/>
    <x v="1"/>
  </r>
  <r>
    <s v="TX502161"/>
    <x v="6"/>
    <x v="5"/>
    <n v="57.9"/>
    <x v="1628"/>
    <x v="78"/>
    <d v="2025-03-21T00:00:00"/>
    <x v="2"/>
    <x v="0"/>
    <x v="0"/>
    <x v="0"/>
    <x v="8"/>
    <x v="3"/>
    <x v="11"/>
    <x v="2"/>
  </r>
  <r>
    <s v="TX502162"/>
    <x v="1"/>
    <x v="0"/>
    <n v="96.7"/>
    <x v="1629"/>
    <x v="78"/>
    <d v="2025-03-21T00:00:00"/>
    <x v="1"/>
    <x v="0"/>
    <x v="0"/>
    <x v="0"/>
    <x v="8"/>
    <x v="3"/>
    <x v="11"/>
    <x v="1"/>
  </r>
  <r>
    <s v="TX502163"/>
    <x v="8"/>
    <x v="4"/>
    <n v="27.6"/>
    <x v="1630"/>
    <x v="78"/>
    <d v="2025-03-22T00:00:00"/>
    <x v="1"/>
    <x v="2"/>
    <x v="2"/>
    <x v="0"/>
    <x v="8"/>
    <x v="1"/>
    <x v="11"/>
    <x v="1"/>
  </r>
  <r>
    <s v="TX502164"/>
    <x v="6"/>
    <x v="12"/>
    <n v="64.7"/>
    <x v="536"/>
    <x v="78"/>
    <d v="2025-03-20T00:00:00"/>
    <x v="1"/>
    <x v="3"/>
    <x v="2"/>
    <x v="0"/>
    <x v="8"/>
    <x v="7"/>
    <x v="11"/>
    <x v="1"/>
  </r>
  <r>
    <s v="TX502165"/>
    <x v="10"/>
    <x v="13"/>
    <n v="30.5"/>
    <x v="1143"/>
    <x v="78"/>
    <d v="2025-03-21T00:00:00"/>
    <x v="1"/>
    <x v="4"/>
    <x v="0"/>
    <x v="0"/>
    <x v="8"/>
    <x v="3"/>
    <x v="11"/>
    <x v="1"/>
  </r>
  <r>
    <s v="TX502166"/>
    <x v="6"/>
    <x v="47"/>
    <n v="106"/>
    <x v="1631"/>
    <x v="79"/>
    <d v="2025-03-23T00:00:00"/>
    <x v="1"/>
    <x v="4"/>
    <x v="2"/>
    <x v="0"/>
    <x v="8"/>
    <x v="1"/>
    <x v="11"/>
    <x v="1"/>
  </r>
  <r>
    <s v="TX502167"/>
    <x v="12"/>
    <x v="9"/>
    <n v="76.8"/>
    <x v="1632"/>
    <x v="79"/>
    <d v="2025-03-27T00:00:00"/>
    <x v="0"/>
    <x v="1"/>
    <x v="1"/>
    <x v="0"/>
    <x v="18"/>
    <x v="4"/>
    <x v="11"/>
    <x v="0"/>
  </r>
  <r>
    <s v="TX502168"/>
    <x v="6"/>
    <x v="1"/>
    <n v="80.400000000000006"/>
    <x v="1530"/>
    <x v="79"/>
    <d v="2025-03-22T00:00:00"/>
    <x v="2"/>
    <x v="2"/>
    <x v="0"/>
    <x v="0"/>
    <x v="13"/>
    <x v="3"/>
    <x v="11"/>
    <x v="2"/>
  </r>
  <r>
    <s v="TX502169"/>
    <x v="6"/>
    <x v="12"/>
    <n v="69.099999999999994"/>
    <x v="1633"/>
    <x v="79"/>
    <d v="2025-03-22T00:00:00"/>
    <x v="1"/>
    <x v="1"/>
    <x v="2"/>
    <x v="0"/>
    <x v="21"/>
    <x v="3"/>
    <x v="11"/>
    <x v="1"/>
  </r>
  <r>
    <s v="TX502170"/>
    <x v="18"/>
    <x v="1"/>
    <n v="76.400000000000006"/>
    <x v="1634"/>
    <x v="79"/>
    <d v="2025-03-21T00:00:00"/>
    <x v="1"/>
    <x v="3"/>
    <x v="0"/>
    <x v="0"/>
    <x v="21"/>
    <x v="7"/>
    <x v="11"/>
    <x v="1"/>
  </r>
  <r>
    <s v="TX502171"/>
    <x v="2"/>
    <x v="1"/>
    <n v="61.3"/>
    <x v="384"/>
    <x v="79"/>
    <d v="2025-03-22T00:00:00"/>
    <x v="2"/>
    <x v="1"/>
    <x v="1"/>
    <x v="0"/>
    <x v="21"/>
    <x v="3"/>
    <x v="11"/>
    <x v="2"/>
  </r>
  <r>
    <s v="TX502172"/>
    <x v="7"/>
    <x v="0"/>
    <n v="58"/>
    <x v="1635"/>
    <x v="79"/>
    <d v="2025-03-22T00:00:00"/>
    <x v="1"/>
    <x v="3"/>
    <x v="1"/>
    <x v="0"/>
    <x v="1"/>
    <x v="3"/>
    <x v="11"/>
    <x v="1"/>
  </r>
  <r>
    <s v="TX502173"/>
    <x v="2"/>
    <x v="8"/>
    <n v="102.3"/>
    <x v="1636"/>
    <x v="79"/>
    <d v="2025-03-23T00:00:00"/>
    <x v="1"/>
    <x v="2"/>
    <x v="0"/>
    <x v="0"/>
    <x v="42"/>
    <x v="1"/>
    <x v="11"/>
    <x v="1"/>
  </r>
  <r>
    <s v="TX502174"/>
    <x v="19"/>
    <x v="1"/>
    <n v="13.8"/>
    <x v="1637"/>
    <x v="79"/>
    <d v="2025-03-22T00:00:00"/>
    <x v="2"/>
    <x v="4"/>
    <x v="2"/>
    <x v="0"/>
    <x v="2"/>
    <x v="3"/>
    <x v="11"/>
    <x v="2"/>
  </r>
  <r>
    <s v="TX502175"/>
    <x v="8"/>
    <x v="2"/>
    <n v="33.299999999999997"/>
    <x v="1638"/>
    <x v="79"/>
    <d v="2025-03-24T00:00:00"/>
    <x v="2"/>
    <x v="2"/>
    <x v="0"/>
    <x v="0"/>
    <x v="22"/>
    <x v="2"/>
    <x v="11"/>
    <x v="2"/>
  </r>
  <r>
    <s v="TX502176"/>
    <x v="10"/>
    <x v="0"/>
    <n v="27.4"/>
    <x v="1639"/>
    <x v="79"/>
    <d v="2025-03-24T00:00:00"/>
    <x v="1"/>
    <x v="0"/>
    <x v="2"/>
    <x v="0"/>
    <x v="22"/>
    <x v="2"/>
    <x v="11"/>
    <x v="1"/>
  </r>
  <r>
    <s v="TX502177"/>
    <x v="14"/>
    <x v="1"/>
    <n v="25.6"/>
    <x v="180"/>
    <x v="79"/>
    <d v="2025-03-22T00:00:00"/>
    <x v="2"/>
    <x v="1"/>
    <x v="1"/>
    <x v="0"/>
    <x v="3"/>
    <x v="3"/>
    <x v="11"/>
    <x v="2"/>
  </r>
  <r>
    <s v="TX502178"/>
    <x v="13"/>
    <x v="0"/>
    <n v="58.4"/>
    <x v="305"/>
    <x v="79"/>
    <d v="2025-03-22T00:00:00"/>
    <x v="2"/>
    <x v="2"/>
    <x v="2"/>
    <x v="0"/>
    <x v="3"/>
    <x v="3"/>
    <x v="11"/>
    <x v="2"/>
  </r>
  <r>
    <s v="TX502179"/>
    <x v="11"/>
    <x v="17"/>
    <n v="27"/>
    <x v="906"/>
    <x v="79"/>
    <d v="2025-03-22T00:00:00"/>
    <x v="2"/>
    <x v="4"/>
    <x v="0"/>
    <x v="0"/>
    <x v="3"/>
    <x v="3"/>
    <x v="11"/>
    <x v="2"/>
  </r>
  <r>
    <s v="TX502180"/>
    <x v="0"/>
    <x v="12"/>
    <n v="14.2"/>
    <x v="1640"/>
    <x v="79"/>
    <d v="2025-03-22T00:00:00"/>
    <x v="1"/>
    <x v="0"/>
    <x v="2"/>
    <x v="0"/>
    <x v="3"/>
    <x v="3"/>
    <x v="11"/>
    <x v="1"/>
  </r>
  <r>
    <s v="TX502181"/>
    <x v="7"/>
    <x v="1"/>
    <n v="68"/>
    <x v="1641"/>
    <x v="79"/>
    <d v="2025-03-31T00:00:00"/>
    <x v="1"/>
    <x v="2"/>
    <x v="1"/>
    <x v="0"/>
    <x v="3"/>
    <x v="14"/>
    <x v="11"/>
    <x v="1"/>
  </r>
  <r>
    <s v="TX502182"/>
    <x v="8"/>
    <x v="0"/>
    <n v="30.7"/>
    <x v="1642"/>
    <x v="79"/>
    <d v="2025-03-22T00:00:00"/>
    <x v="1"/>
    <x v="0"/>
    <x v="0"/>
    <x v="0"/>
    <x v="3"/>
    <x v="3"/>
    <x v="11"/>
    <x v="1"/>
  </r>
  <r>
    <s v="TX502183"/>
    <x v="17"/>
    <x v="15"/>
    <n v="51.6"/>
    <x v="1643"/>
    <x v="79"/>
    <d v="2025-03-24T00:00:00"/>
    <x v="3"/>
    <x v="1"/>
    <x v="2"/>
    <x v="0"/>
    <x v="3"/>
    <x v="2"/>
    <x v="11"/>
    <x v="3"/>
  </r>
  <r>
    <s v="TX502184"/>
    <x v="8"/>
    <x v="2"/>
    <n v="20.6"/>
    <x v="957"/>
    <x v="79"/>
    <d v="2025-03-25T00:00:00"/>
    <x v="2"/>
    <x v="4"/>
    <x v="2"/>
    <x v="0"/>
    <x v="3"/>
    <x v="5"/>
    <x v="11"/>
    <x v="2"/>
  </r>
  <r>
    <s v="TX502185"/>
    <x v="8"/>
    <x v="0"/>
    <n v="24.8"/>
    <x v="1644"/>
    <x v="79"/>
    <d v="2025-03-22T00:00:00"/>
    <x v="1"/>
    <x v="4"/>
    <x v="0"/>
    <x v="0"/>
    <x v="3"/>
    <x v="3"/>
    <x v="11"/>
    <x v="1"/>
  </r>
  <r>
    <s v="TX502186"/>
    <x v="0"/>
    <x v="3"/>
    <n v="11.2"/>
    <x v="1645"/>
    <x v="79"/>
    <d v="2025-03-24T00:00:00"/>
    <x v="1"/>
    <x v="1"/>
    <x v="0"/>
    <x v="0"/>
    <x v="3"/>
    <x v="2"/>
    <x v="11"/>
    <x v="1"/>
  </r>
  <r>
    <s v="TX502187"/>
    <x v="11"/>
    <x v="1"/>
    <n v="51.2"/>
    <x v="298"/>
    <x v="79"/>
    <d v="2025-03-22T00:00:00"/>
    <x v="2"/>
    <x v="1"/>
    <x v="2"/>
    <x v="0"/>
    <x v="3"/>
    <x v="3"/>
    <x v="11"/>
    <x v="2"/>
  </r>
  <r>
    <s v="TX502188"/>
    <x v="7"/>
    <x v="13"/>
    <n v="90.5"/>
    <x v="1646"/>
    <x v="79"/>
    <d v="2025-03-22T00:00:00"/>
    <x v="2"/>
    <x v="1"/>
    <x v="4"/>
    <x v="0"/>
    <x v="3"/>
    <x v="3"/>
    <x v="11"/>
    <x v="2"/>
  </r>
  <r>
    <s v="TX502189"/>
    <x v="1"/>
    <x v="1"/>
    <n v="42.4"/>
    <x v="1647"/>
    <x v="79"/>
    <d v="2025-03-22T00:00:00"/>
    <x v="1"/>
    <x v="1"/>
    <x v="2"/>
    <x v="0"/>
    <x v="4"/>
    <x v="3"/>
    <x v="11"/>
    <x v="1"/>
  </r>
  <r>
    <s v="TX502190"/>
    <x v="1"/>
    <x v="1"/>
    <n v="38.200000000000003"/>
    <x v="1648"/>
    <x v="79"/>
    <d v="2025-03-22T00:00:00"/>
    <x v="1"/>
    <x v="0"/>
    <x v="0"/>
    <x v="0"/>
    <x v="5"/>
    <x v="3"/>
    <x v="11"/>
    <x v="1"/>
  </r>
  <r>
    <s v="TX502191"/>
    <x v="2"/>
    <x v="11"/>
    <n v="121.3"/>
    <x v="1649"/>
    <x v="79"/>
    <d v="2025-03-26T00:00:00"/>
    <x v="1"/>
    <x v="0"/>
    <x v="0"/>
    <x v="0"/>
    <x v="6"/>
    <x v="0"/>
    <x v="11"/>
    <x v="1"/>
  </r>
  <r>
    <s v="TX502192"/>
    <x v="6"/>
    <x v="1"/>
    <n v="46.9"/>
    <x v="1650"/>
    <x v="79"/>
    <d v="2025-03-28T00:00:00"/>
    <x v="1"/>
    <x v="0"/>
    <x v="0"/>
    <x v="0"/>
    <x v="8"/>
    <x v="6"/>
    <x v="11"/>
    <x v="1"/>
  </r>
  <r>
    <s v="TX502193"/>
    <x v="10"/>
    <x v="0"/>
    <n v="55.3"/>
    <x v="6"/>
    <x v="79"/>
    <d v="2025-03-23T00:00:00"/>
    <x v="1"/>
    <x v="0"/>
    <x v="0"/>
    <x v="0"/>
    <x v="8"/>
    <x v="1"/>
    <x v="11"/>
    <x v="1"/>
  </r>
  <r>
    <s v="TX502194"/>
    <x v="2"/>
    <x v="2"/>
    <n v="70.599999999999994"/>
    <x v="1651"/>
    <x v="80"/>
    <d v="2025-03-22T00:00:00"/>
    <x v="2"/>
    <x v="0"/>
    <x v="1"/>
    <x v="0"/>
    <x v="8"/>
    <x v="7"/>
    <x v="11"/>
    <x v="2"/>
  </r>
  <r>
    <s v="TX502195"/>
    <x v="14"/>
    <x v="12"/>
    <n v="26.1"/>
    <x v="1652"/>
    <x v="80"/>
    <d v="2025-03-24T00:00:00"/>
    <x v="1"/>
    <x v="0"/>
    <x v="0"/>
    <x v="0"/>
    <x v="8"/>
    <x v="1"/>
    <x v="11"/>
    <x v="1"/>
  </r>
  <r>
    <s v="TX502196"/>
    <x v="9"/>
    <x v="5"/>
    <n v="34.5"/>
    <x v="1653"/>
    <x v="80"/>
    <d v="2025-03-26T00:00:00"/>
    <x v="1"/>
    <x v="2"/>
    <x v="0"/>
    <x v="0"/>
    <x v="17"/>
    <x v="5"/>
    <x v="11"/>
    <x v="1"/>
  </r>
  <r>
    <s v="TX502197"/>
    <x v="1"/>
    <x v="1"/>
    <n v="64.2"/>
    <x v="58"/>
    <x v="80"/>
    <d v="2025-03-23T00:00:00"/>
    <x v="2"/>
    <x v="0"/>
    <x v="1"/>
    <x v="0"/>
    <x v="17"/>
    <x v="3"/>
    <x v="11"/>
    <x v="2"/>
  </r>
  <r>
    <s v="TX502198"/>
    <x v="2"/>
    <x v="12"/>
    <n v="145.69999999999999"/>
    <x v="1654"/>
    <x v="80"/>
    <d v="2025-03-23T00:00:00"/>
    <x v="2"/>
    <x v="0"/>
    <x v="4"/>
    <x v="0"/>
    <x v="17"/>
    <x v="3"/>
    <x v="11"/>
    <x v="2"/>
  </r>
  <r>
    <s v="TX502199"/>
    <x v="12"/>
    <x v="1"/>
    <n v="78.5"/>
    <x v="1655"/>
    <x v="80"/>
    <d v="2025-03-23T00:00:00"/>
    <x v="1"/>
    <x v="2"/>
    <x v="0"/>
    <x v="0"/>
    <x v="26"/>
    <x v="3"/>
    <x v="11"/>
    <x v="1"/>
  </r>
  <r>
    <s v="TX502200"/>
    <x v="1"/>
    <x v="0"/>
    <n v="34.200000000000003"/>
    <x v="1656"/>
    <x v="80"/>
    <d v="2025-03-24T00:00:00"/>
    <x v="1"/>
    <x v="0"/>
    <x v="0"/>
    <x v="0"/>
    <x v="9"/>
    <x v="1"/>
    <x v="11"/>
    <x v="1"/>
  </r>
  <r>
    <s v="TX502201"/>
    <x v="19"/>
    <x v="0"/>
    <n v="26.2"/>
    <x v="1102"/>
    <x v="80"/>
    <d v="2025-03-23T00:00:00"/>
    <x v="1"/>
    <x v="2"/>
    <x v="0"/>
    <x v="0"/>
    <x v="9"/>
    <x v="3"/>
    <x v="11"/>
    <x v="1"/>
  </r>
  <r>
    <s v="TX502202"/>
    <x v="6"/>
    <x v="12"/>
    <n v="53.2"/>
    <x v="1547"/>
    <x v="80"/>
    <d v="2025-03-23T00:00:00"/>
    <x v="1"/>
    <x v="1"/>
    <x v="1"/>
    <x v="0"/>
    <x v="11"/>
    <x v="3"/>
    <x v="11"/>
    <x v="1"/>
  </r>
  <r>
    <s v="TX502203"/>
    <x v="1"/>
    <x v="0"/>
    <n v="35.4"/>
    <x v="1657"/>
    <x v="80"/>
    <d v="2025-03-26T00:00:00"/>
    <x v="1"/>
    <x v="1"/>
    <x v="4"/>
    <x v="0"/>
    <x v="18"/>
    <x v="5"/>
    <x v="11"/>
    <x v="1"/>
  </r>
  <r>
    <s v="TX502204"/>
    <x v="14"/>
    <x v="1"/>
    <n v="21.3"/>
    <x v="440"/>
    <x v="80"/>
    <d v="2025-03-23T00:00:00"/>
    <x v="1"/>
    <x v="2"/>
    <x v="0"/>
    <x v="0"/>
    <x v="20"/>
    <x v="3"/>
    <x v="11"/>
    <x v="1"/>
  </r>
  <r>
    <s v="TX502205"/>
    <x v="8"/>
    <x v="12"/>
    <n v="32.9"/>
    <x v="1423"/>
    <x v="80"/>
    <d v="2025-03-25T00:00:00"/>
    <x v="2"/>
    <x v="4"/>
    <x v="2"/>
    <x v="0"/>
    <x v="21"/>
    <x v="2"/>
    <x v="11"/>
    <x v="2"/>
  </r>
  <r>
    <s v="TX502206"/>
    <x v="5"/>
    <x v="20"/>
    <n v="85.5"/>
    <x v="1658"/>
    <x v="80"/>
    <d v="2025-03-24T00:00:00"/>
    <x v="2"/>
    <x v="3"/>
    <x v="1"/>
    <x v="0"/>
    <x v="21"/>
    <x v="1"/>
    <x v="11"/>
    <x v="2"/>
  </r>
  <r>
    <s v="TX502207"/>
    <x v="4"/>
    <x v="0"/>
    <n v="26.8"/>
    <x v="63"/>
    <x v="80"/>
    <d v="2025-03-23T00:00:00"/>
    <x v="2"/>
    <x v="0"/>
    <x v="1"/>
    <x v="0"/>
    <x v="2"/>
    <x v="3"/>
    <x v="11"/>
    <x v="2"/>
  </r>
  <r>
    <s v="TX502208"/>
    <x v="9"/>
    <x v="18"/>
    <n v="31.7"/>
    <x v="1659"/>
    <x v="80"/>
    <d v="2025-03-22T00:00:00"/>
    <x v="2"/>
    <x v="3"/>
    <x v="0"/>
    <x v="0"/>
    <x v="2"/>
    <x v="7"/>
    <x v="11"/>
    <x v="2"/>
  </r>
  <r>
    <s v="TX502209"/>
    <x v="1"/>
    <x v="1"/>
    <n v="78.3"/>
    <x v="1660"/>
    <x v="80"/>
    <d v="2025-03-24T00:00:00"/>
    <x v="2"/>
    <x v="1"/>
    <x v="1"/>
    <x v="0"/>
    <x v="3"/>
    <x v="1"/>
    <x v="11"/>
    <x v="2"/>
  </r>
  <r>
    <s v="TX502210"/>
    <x v="6"/>
    <x v="0"/>
    <n v="43.9"/>
    <x v="1661"/>
    <x v="80"/>
    <d v="2025-03-23T00:00:00"/>
    <x v="1"/>
    <x v="0"/>
    <x v="0"/>
    <x v="0"/>
    <x v="3"/>
    <x v="3"/>
    <x v="11"/>
    <x v="1"/>
  </r>
  <r>
    <s v="TX502211"/>
    <x v="18"/>
    <x v="2"/>
    <n v="84"/>
    <x v="816"/>
    <x v="80"/>
    <d v="2025-03-24T00:00:00"/>
    <x v="0"/>
    <x v="3"/>
    <x v="2"/>
    <x v="0"/>
    <x v="3"/>
    <x v="1"/>
    <x v="11"/>
    <x v="0"/>
  </r>
  <r>
    <s v="TX502212"/>
    <x v="0"/>
    <x v="2"/>
    <n v="11.4"/>
    <x v="1656"/>
    <x v="80"/>
    <d v="2025-03-23T00:00:00"/>
    <x v="1"/>
    <x v="4"/>
    <x v="0"/>
    <x v="0"/>
    <x v="3"/>
    <x v="3"/>
    <x v="11"/>
    <x v="1"/>
  </r>
  <r>
    <s v="TX502213"/>
    <x v="12"/>
    <x v="8"/>
    <n v="47.5"/>
    <x v="1662"/>
    <x v="80"/>
    <d v="2025-03-30T00:00:00"/>
    <x v="2"/>
    <x v="0"/>
    <x v="0"/>
    <x v="0"/>
    <x v="3"/>
    <x v="9"/>
    <x v="11"/>
    <x v="2"/>
  </r>
  <r>
    <s v="TX502214"/>
    <x v="9"/>
    <x v="5"/>
    <n v="50.5"/>
    <x v="1663"/>
    <x v="80"/>
    <d v="2025-03-24T00:00:00"/>
    <x v="1"/>
    <x v="2"/>
    <x v="0"/>
    <x v="0"/>
    <x v="3"/>
    <x v="1"/>
    <x v="11"/>
    <x v="1"/>
  </r>
  <r>
    <s v="TX502215"/>
    <x v="15"/>
    <x v="0"/>
    <n v="36.299999999999997"/>
    <x v="1277"/>
    <x v="80"/>
    <d v="2025-03-25T00:00:00"/>
    <x v="3"/>
    <x v="0"/>
    <x v="1"/>
    <x v="0"/>
    <x v="8"/>
    <x v="2"/>
    <x v="11"/>
    <x v="3"/>
  </r>
  <r>
    <s v="TX502216"/>
    <x v="8"/>
    <x v="1"/>
    <n v="35.4"/>
    <x v="1664"/>
    <x v="80"/>
    <d v="2025-03-23T00:00:00"/>
    <x v="2"/>
    <x v="0"/>
    <x v="0"/>
    <x v="0"/>
    <x v="17"/>
    <x v="3"/>
    <x v="11"/>
    <x v="2"/>
  </r>
  <r>
    <s v="TX502217"/>
    <x v="1"/>
    <x v="2"/>
    <n v="45.9"/>
    <x v="223"/>
    <x v="81"/>
    <d v="2025-03-24T00:00:00"/>
    <x v="1"/>
    <x v="3"/>
    <x v="0"/>
    <x v="0"/>
    <x v="9"/>
    <x v="3"/>
    <x v="12"/>
    <x v="1"/>
  </r>
  <r>
    <s v="TX502218"/>
    <x v="6"/>
    <x v="7"/>
    <n v="41.2"/>
    <x v="1665"/>
    <x v="81"/>
    <d v="2025-03-27T00:00:00"/>
    <x v="1"/>
    <x v="0"/>
    <x v="0"/>
    <x v="0"/>
    <x v="11"/>
    <x v="5"/>
    <x v="12"/>
    <x v="1"/>
  </r>
  <r>
    <s v="TX502219"/>
    <x v="17"/>
    <x v="1"/>
    <n v="45.1"/>
    <x v="244"/>
    <x v="81"/>
    <d v="2025-03-24T00:00:00"/>
    <x v="1"/>
    <x v="1"/>
    <x v="1"/>
    <x v="0"/>
    <x v="21"/>
    <x v="3"/>
    <x v="12"/>
    <x v="1"/>
  </r>
  <r>
    <s v="TX502220"/>
    <x v="6"/>
    <x v="7"/>
    <n v="63.6"/>
    <x v="1666"/>
    <x v="81"/>
    <d v="2025-03-23T00:00:00"/>
    <x v="1"/>
    <x v="2"/>
    <x v="0"/>
    <x v="0"/>
    <x v="1"/>
    <x v="7"/>
    <x v="12"/>
    <x v="1"/>
  </r>
  <r>
    <s v="TX502221"/>
    <x v="8"/>
    <x v="0"/>
    <n v="70.5"/>
    <x v="1012"/>
    <x v="81"/>
    <d v="2025-03-24T00:00:00"/>
    <x v="1"/>
    <x v="0"/>
    <x v="0"/>
    <x v="0"/>
    <x v="3"/>
    <x v="3"/>
    <x v="12"/>
    <x v="1"/>
  </r>
  <r>
    <s v="TX502222"/>
    <x v="6"/>
    <x v="0"/>
    <n v="41.3"/>
    <x v="1667"/>
    <x v="81"/>
    <d v="2025-03-23T00:00:00"/>
    <x v="1"/>
    <x v="4"/>
    <x v="0"/>
    <x v="0"/>
    <x v="3"/>
    <x v="7"/>
    <x v="12"/>
    <x v="1"/>
  </r>
  <r>
    <s v="TX502223"/>
    <x v="4"/>
    <x v="0"/>
    <n v="35.299999999999997"/>
    <x v="1668"/>
    <x v="81"/>
    <d v="2025-03-26T00:00:00"/>
    <x v="2"/>
    <x v="4"/>
    <x v="2"/>
    <x v="0"/>
    <x v="3"/>
    <x v="2"/>
    <x v="12"/>
    <x v="2"/>
  </r>
  <r>
    <s v="TX502224"/>
    <x v="8"/>
    <x v="9"/>
    <n v="34.700000000000003"/>
    <x v="1669"/>
    <x v="81"/>
    <d v="2025-03-24T00:00:00"/>
    <x v="2"/>
    <x v="0"/>
    <x v="2"/>
    <x v="0"/>
    <x v="3"/>
    <x v="3"/>
    <x v="12"/>
    <x v="2"/>
  </r>
  <r>
    <s v="TX502225"/>
    <x v="8"/>
    <x v="2"/>
    <n v="26.1"/>
    <x v="1670"/>
    <x v="81"/>
    <d v="2025-03-24T00:00:00"/>
    <x v="2"/>
    <x v="0"/>
    <x v="0"/>
    <x v="0"/>
    <x v="3"/>
    <x v="3"/>
    <x v="12"/>
    <x v="2"/>
  </r>
  <r>
    <s v="TX502226"/>
    <x v="9"/>
    <x v="9"/>
    <n v="22.6"/>
    <x v="548"/>
    <x v="81"/>
    <d v="2025-03-23T00:00:00"/>
    <x v="2"/>
    <x v="1"/>
    <x v="2"/>
    <x v="0"/>
    <x v="3"/>
    <x v="7"/>
    <x v="12"/>
    <x v="2"/>
  </r>
  <r>
    <s v="TX502227"/>
    <x v="2"/>
    <x v="1"/>
    <n v="154.4"/>
    <x v="1671"/>
    <x v="81"/>
    <d v="2025-03-26T00:00:00"/>
    <x v="1"/>
    <x v="1"/>
    <x v="1"/>
    <x v="0"/>
    <x v="3"/>
    <x v="2"/>
    <x v="12"/>
    <x v="1"/>
  </r>
  <r>
    <s v="TX502228"/>
    <x v="8"/>
    <x v="1"/>
    <n v="18.399999999999999"/>
    <x v="791"/>
    <x v="81"/>
    <d v="2025-03-24T00:00:00"/>
    <x v="1"/>
    <x v="0"/>
    <x v="0"/>
    <x v="0"/>
    <x v="3"/>
    <x v="3"/>
    <x v="12"/>
    <x v="1"/>
  </r>
  <r>
    <s v="TX502229"/>
    <x v="14"/>
    <x v="0"/>
    <n v="25"/>
    <x v="1672"/>
    <x v="81"/>
    <d v="2025-03-26T00:00:00"/>
    <x v="2"/>
    <x v="0"/>
    <x v="0"/>
    <x v="0"/>
    <x v="3"/>
    <x v="2"/>
    <x v="12"/>
    <x v="2"/>
  </r>
  <r>
    <s v="TX502230"/>
    <x v="2"/>
    <x v="13"/>
    <n v="105.6"/>
    <x v="1673"/>
    <x v="81"/>
    <d v="2025-03-23T00:00:00"/>
    <x v="2"/>
    <x v="0"/>
    <x v="0"/>
    <x v="0"/>
    <x v="3"/>
    <x v="7"/>
    <x v="12"/>
    <x v="2"/>
  </r>
  <r>
    <s v="TX502231"/>
    <x v="18"/>
    <x v="8"/>
    <n v="59.6"/>
    <x v="1674"/>
    <x v="81"/>
    <d v="2025-03-23T00:00:00"/>
    <x v="2"/>
    <x v="0"/>
    <x v="2"/>
    <x v="0"/>
    <x v="23"/>
    <x v="7"/>
    <x v="12"/>
    <x v="2"/>
  </r>
  <r>
    <s v="TX502232"/>
    <x v="15"/>
    <x v="2"/>
    <n v="75.400000000000006"/>
    <x v="1675"/>
    <x v="81"/>
    <d v="2025-03-28T00:00:00"/>
    <x v="1"/>
    <x v="0"/>
    <x v="1"/>
    <x v="0"/>
    <x v="7"/>
    <x v="0"/>
    <x v="12"/>
    <x v="1"/>
  </r>
  <r>
    <s v="TX502233"/>
    <x v="7"/>
    <x v="0"/>
    <n v="104.4"/>
    <x v="1652"/>
    <x v="81"/>
    <d v="2025-03-24T00:00:00"/>
    <x v="2"/>
    <x v="0"/>
    <x v="0"/>
    <x v="0"/>
    <x v="8"/>
    <x v="3"/>
    <x v="12"/>
    <x v="2"/>
  </r>
  <r>
    <s v="TX502234"/>
    <x v="2"/>
    <x v="7"/>
    <n v="208.2"/>
    <x v="1676"/>
    <x v="81"/>
    <d v="2025-03-24T00:00:00"/>
    <x v="1"/>
    <x v="0"/>
    <x v="2"/>
    <x v="0"/>
    <x v="8"/>
    <x v="3"/>
    <x v="12"/>
    <x v="1"/>
  </r>
  <r>
    <s v="TX502235"/>
    <x v="6"/>
    <x v="1"/>
    <n v="45"/>
    <x v="645"/>
    <x v="81"/>
    <d v="2025-03-26T00:00:00"/>
    <x v="2"/>
    <x v="0"/>
    <x v="0"/>
    <x v="0"/>
    <x v="10"/>
    <x v="2"/>
    <x v="12"/>
    <x v="2"/>
  </r>
  <r>
    <s v="TX502236"/>
    <x v="15"/>
    <x v="1"/>
    <n v="20.3"/>
    <x v="1352"/>
    <x v="82"/>
    <d v="2025-03-26T00:00:00"/>
    <x v="0"/>
    <x v="1"/>
    <x v="0"/>
    <x v="0"/>
    <x v="11"/>
    <x v="1"/>
    <x v="12"/>
    <x v="0"/>
  </r>
  <r>
    <s v="TX502237"/>
    <x v="2"/>
    <x v="2"/>
    <n v="94.4"/>
    <x v="1677"/>
    <x v="82"/>
    <d v="2025-03-25T00:00:00"/>
    <x v="2"/>
    <x v="0"/>
    <x v="2"/>
    <x v="0"/>
    <x v="11"/>
    <x v="3"/>
    <x v="12"/>
    <x v="2"/>
  </r>
  <r>
    <s v="TX502238"/>
    <x v="9"/>
    <x v="0"/>
    <n v="49"/>
    <x v="268"/>
    <x v="82"/>
    <d v="2025-03-26T00:00:00"/>
    <x v="2"/>
    <x v="0"/>
    <x v="2"/>
    <x v="0"/>
    <x v="20"/>
    <x v="1"/>
    <x v="12"/>
    <x v="2"/>
  </r>
  <r>
    <s v="TX502239"/>
    <x v="4"/>
    <x v="1"/>
    <n v="27.2"/>
    <x v="630"/>
    <x v="82"/>
    <d v="2025-03-26T00:00:00"/>
    <x v="1"/>
    <x v="0"/>
    <x v="2"/>
    <x v="0"/>
    <x v="1"/>
    <x v="1"/>
    <x v="12"/>
    <x v="1"/>
  </r>
  <r>
    <s v="TX502240"/>
    <x v="2"/>
    <x v="13"/>
    <n v="72.599999999999994"/>
    <x v="349"/>
    <x v="82"/>
    <d v="2025-03-25T00:00:00"/>
    <x v="2"/>
    <x v="0"/>
    <x v="2"/>
    <x v="0"/>
    <x v="2"/>
    <x v="3"/>
    <x v="12"/>
    <x v="2"/>
  </r>
  <r>
    <s v="TX502241"/>
    <x v="15"/>
    <x v="12"/>
    <n v="62.4"/>
    <x v="1267"/>
    <x v="82"/>
    <d v="2025-03-25T00:00:00"/>
    <x v="2"/>
    <x v="0"/>
    <x v="0"/>
    <x v="0"/>
    <x v="3"/>
    <x v="3"/>
    <x v="12"/>
    <x v="2"/>
  </r>
  <r>
    <s v="TX502242"/>
    <x v="8"/>
    <x v="2"/>
    <n v="19.100000000000001"/>
    <x v="1281"/>
    <x v="82"/>
    <d v="2025-03-26T00:00:00"/>
    <x v="1"/>
    <x v="0"/>
    <x v="1"/>
    <x v="0"/>
    <x v="3"/>
    <x v="1"/>
    <x v="12"/>
    <x v="1"/>
  </r>
  <r>
    <s v="TX502243"/>
    <x v="10"/>
    <x v="0"/>
    <n v="29.6"/>
    <x v="1678"/>
    <x v="82"/>
    <d v="2025-03-28T00:00:00"/>
    <x v="1"/>
    <x v="0"/>
    <x v="4"/>
    <x v="0"/>
    <x v="3"/>
    <x v="5"/>
    <x v="12"/>
    <x v="1"/>
  </r>
  <r>
    <s v="TX502244"/>
    <x v="8"/>
    <x v="1"/>
    <n v="18.899999999999999"/>
    <x v="463"/>
    <x v="82"/>
    <d v="2025-03-26T00:00:00"/>
    <x v="2"/>
    <x v="4"/>
    <x v="2"/>
    <x v="0"/>
    <x v="3"/>
    <x v="1"/>
    <x v="12"/>
    <x v="2"/>
  </r>
  <r>
    <s v="TX502245"/>
    <x v="10"/>
    <x v="9"/>
    <n v="41.4"/>
    <x v="461"/>
    <x v="82"/>
    <d v="2025-03-25T00:00:00"/>
    <x v="1"/>
    <x v="3"/>
    <x v="0"/>
    <x v="0"/>
    <x v="3"/>
    <x v="3"/>
    <x v="12"/>
    <x v="1"/>
  </r>
  <r>
    <s v="TX502246"/>
    <x v="2"/>
    <x v="0"/>
    <n v="118.4"/>
    <x v="1250"/>
    <x v="82"/>
    <d v="2025-03-25T00:00:00"/>
    <x v="2"/>
    <x v="0"/>
    <x v="2"/>
    <x v="0"/>
    <x v="3"/>
    <x v="3"/>
    <x v="12"/>
    <x v="2"/>
  </r>
  <r>
    <s v="TX502247"/>
    <x v="2"/>
    <x v="1"/>
    <n v="125.3"/>
    <x v="1679"/>
    <x v="82"/>
    <d v="2025-03-27T00:00:00"/>
    <x v="2"/>
    <x v="0"/>
    <x v="2"/>
    <x v="0"/>
    <x v="3"/>
    <x v="2"/>
    <x v="12"/>
    <x v="2"/>
  </r>
  <r>
    <s v="TX502248"/>
    <x v="3"/>
    <x v="1"/>
    <n v="85.8"/>
    <x v="1512"/>
    <x v="82"/>
    <d v="2025-03-25T00:00:00"/>
    <x v="2"/>
    <x v="1"/>
    <x v="4"/>
    <x v="0"/>
    <x v="3"/>
    <x v="3"/>
    <x v="12"/>
    <x v="2"/>
  </r>
  <r>
    <s v="TX502249"/>
    <x v="6"/>
    <x v="0"/>
    <n v="44.2"/>
    <x v="573"/>
    <x v="82"/>
    <d v="2025-03-27T00:00:00"/>
    <x v="1"/>
    <x v="1"/>
    <x v="0"/>
    <x v="0"/>
    <x v="3"/>
    <x v="2"/>
    <x v="12"/>
    <x v="1"/>
  </r>
  <r>
    <s v="TX502250"/>
    <x v="5"/>
    <x v="12"/>
    <n v="74.099999999999994"/>
    <x v="764"/>
    <x v="82"/>
    <d v="2025-03-26T00:00:00"/>
    <x v="2"/>
    <x v="0"/>
    <x v="0"/>
    <x v="0"/>
    <x v="3"/>
    <x v="1"/>
    <x v="12"/>
    <x v="2"/>
  </r>
  <r>
    <s v="TX502251"/>
    <x v="8"/>
    <x v="0"/>
    <n v="33.799999999999997"/>
    <x v="1680"/>
    <x v="82"/>
    <d v="2025-03-25T00:00:00"/>
    <x v="2"/>
    <x v="2"/>
    <x v="2"/>
    <x v="0"/>
    <x v="24"/>
    <x v="3"/>
    <x v="12"/>
    <x v="2"/>
  </r>
  <r>
    <s v="TX502252"/>
    <x v="1"/>
    <x v="1"/>
    <n v="39.1"/>
    <x v="1148"/>
    <x v="82"/>
    <d v="2025-03-25T00:00:00"/>
    <x v="1"/>
    <x v="0"/>
    <x v="1"/>
    <x v="0"/>
    <x v="24"/>
    <x v="3"/>
    <x v="12"/>
    <x v="1"/>
  </r>
  <r>
    <s v="TX502253"/>
    <x v="0"/>
    <x v="0"/>
    <n v="37.200000000000003"/>
    <x v="804"/>
    <x v="82"/>
    <d v="2025-03-25T00:00:00"/>
    <x v="1"/>
    <x v="0"/>
    <x v="1"/>
    <x v="0"/>
    <x v="16"/>
    <x v="3"/>
    <x v="12"/>
    <x v="1"/>
  </r>
  <r>
    <s v="TX502254"/>
    <x v="15"/>
    <x v="2"/>
    <n v="33.9"/>
    <x v="1681"/>
    <x v="82"/>
    <d v="2025-03-26T00:00:00"/>
    <x v="1"/>
    <x v="2"/>
    <x v="0"/>
    <x v="0"/>
    <x v="6"/>
    <x v="1"/>
    <x v="12"/>
    <x v="1"/>
  </r>
  <r>
    <s v="TX502255"/>
    <x v="7"/>
    <x v="20"/>
    <n v="73.3"/>
    <x v="1682"/>
    <x v="82"/>
    <d v="2025-03-27T00:00:00"/>
    <x v="2"/>
    <x v="2"/>
    <x v="1"/>
    <x v="0"/>
    <x v="8"/>
    <x v="2"/>
    <x v="12"/>
    <x v="2"/>
  </r>
  <r>
    <s v="TX502256"/>
    <x v="8"/>
    <x v="12"/>
    <n v="35"/>
    <x v="1683"/>
    <x v="82"/>
    <d v="2025-03-26T00:00:00"/>
    <x v="2"/>
    <x v="1"/>
    <x v="0"/>
    <x v="0"/>
    <x v="8"/>
    <x v="1"/>
    <x v="12"/>
    <x v="2"/>
  </r>
  <r>
    <s v="TX502257"/>
    <x v="0"/>
    <x v="2"/>
    <n v="22.2"/>
    <x v="815"/>
    <x v="82"/>
    <d v="2025-03-25T00:00:00"/>
    <x v="1"/>
    <x v="1"/>
    <x v="0"/>
    <x v="0"/>
    <x v="17"/>
    <x v="3"/>
    <x v="12"/>
    <x v="1"/>
  </r>
  <r>
    <s v="TX502258"/>
    <x v="10"/>
    <x v="0"/>
    <n v="32.4"/>
    <x v="1684"/>
    <x v="82"/>
    <d v="2025-03-25T00:00:00"/>
    <x v="2"/>
    <x v="0"/>
    <x v="0"/>
    <x v="0"/>
    <x v="11"/>
    <x v="3"/>
    <x v="12"/>
    <x v="2"/>
  </r>
  <r>
    <s v="TX502259"/>
    <x v="5"/>
    <x v="2"/>
    <n v="88.4"/>
    <x v="1685"/>
    <x v="83"/>
    <d v="2025-03-27T00:00:00"/>
    <x v="2"/>
    <x v="1"/>
    <x v="1"/>
    <x v="0"/>
    <x v="11"/>
    <x v="1"/>
    <x v="12"/>
    <x v="2"/>
  </r>
  <r>
    <s v="TX502260"/>
    <x v="5"/>
    <x v="27"/>
    <n v="30.5"/>
    <x v="865"/>
    <x v="83"/>
    <d v="2025-03-26T00:00:00"/>
    <x v="2"/>
    <x v="2"/>
    <x v="0"/>
    <x v="0"/>
    <x v="11"/>
    <x v="3"/>
    <x v="12"/>
    <x v="2"/>
  </r>
  <r>
    <s v="TX502261"/>
    <x v="1"/>
    <x v="13"/>
    <n v="38.1"/>
    <x v="1686"/>
    <x v="83"/>
    <d v="2025-03-27T00:00:00"/>
    <x v="2"/>
    <x v="0"/>
    <x v="1"/>
    <x v="0"/>
    <x v="11"/>
    <x v="1"/>
    <x v="12"/>
    <x v="2"/>
  </r>
  <r>
    <s v="TX502262"/>
    <x v="10"/>
    <x v="9"/>
    <n v="37.6"/>
    <x v="885"/>
    <x v="83"/>
    <d v="2025-03-29T00:00:00"/>
    <x v="1"/>
    <x v="0"/>
    <x v="0"/>
    <x v="0"/>
    <x v="11"/>
    <x v="5"/>
    <x v="12"/>
    <x v="1"/>
  </r>
  <r>
    <s v="TX502263"/>
    <x v="15"/>
    <x v="1"/>
    <n v="31.4"/>
    <x v="143"/>
    <x v="83"/>
    <d v="2025-03-26T00:00:00"/>
    <x v="1"/>
    <x v="0"/>
    <x v="2"/>
    <x v="0"/>
    <x v="11"/>
    <x v="3"/>
    <x v="12"/>
    <x v="1"/>
  </r>
  <r>
    <s v="TX502264"/>
    <x v="6"/>
    <x v="1"/>
    <n v="61.5"/>
    <x v="1287"/>
    <x v="83"/>
    <d v="2025-03-26T00:00:00"/>
    <x v="1"/>
    <x v="3"/>
    <x v="0"/>
    <x v="0"/>
    <x v="31"/>
    <x v="3"/>
    <x v="12"/>
    <x v="1"/>
  </r>
  <r>
    <s v="TX502265"/>
    <x v="6"/>
    <x v="0"/>
    <n v="72.599999999999994"/>
    <x v="1325"/>
    <x v="83"/>
    <d v="2025-03-26T00:00:00"/>
    <x v="1"/>
    <x v="0"/>
    <x v="1"/>
    <x v="0"/>
    <x v="21"/>
    <x v="3"/>
    <x v="12"/>
    <x v="1"/>
  </r>
  <r>
    <s v="TX502266"/>
    <x v="9"/>
    <x v="2"/>
    <n v="26.9"/>
    <x v="1687"/>
    <x v="83"/>
    <d v="2025-03-30T00:00:00"/>
    <x v="3"/>
    <x v="4"/>
    <x v="1"/>
    <x v="0"/>
    <x v="46"/>
    <x v="0"/>
    <x v="12"/>
    <x v="3"/>
  </r>
  <r>
    <s v="TX502267"/>
    <x v="17"/>
    <x v="4"/>
    <n v="29.4"/>
    <x v="1688"/>
    <x v="83"/>
    <d v="2025-03-26T00:00:00"/>
    <x v="2"/>
    <x v="1"/>
    <x v="0"/>
    <x v="0"/>
    <x v="51"/>
    <x v="3"/>
    <x v="12"/>
    <x v="2"/>
  </r>
  <r>
    <s v="TX502268"/>
    <x v="17"/>
    <x v="1"/>
    <n v="42.1"/>
    <x v="903"/>
    <x v="83"/>
    <d v="2025-03-26T00:00:00"/>
    <x v="2"/>
    <x v="3"/>
    <x v="1"/>
    <x v="0"/>
    <x v="1"/>
    <x v="3"/>
    <x v="12"/>
    <x v="2"/>
  </r>
  <r>
    <s v="TX502269"/>
    <x v="5"/>
    <x v="0"/>
    <n v="40.5"/>
    <x v="1117"/>
    <x v="83"/>
    <d v="2025-03-26T00:00:00"/>
    <x v="2"/>
    <x v="2"/>
    <x v="1"/>
    <x v="0"/>
    <x v="1"/>
    <x v="3"/>
    <x v="12"/>
    <x v="2"/>
  </r>
  <r>
    <s v="TX502270"/>
    <x v="2"/>
    <x v="12"/>
    <n v="182.3"/>
    <x v="1689"/>
    <x v="83"/>
    <d v="2025-03-26T00:00:00"/>
    <x v="2"/>
    <x v="1"/>
    <x v="0"/>
    <x v="0"/>
    <x v="1"/>
    <x v="3"/>
    <x v="12"/>
    <x v="2"/>
  </r>
  <r>
    <s v="TX502271"/>
    <x v="2"/>
    <x v="9"/>
    <n v="157"/>
    <x v="1690"/>
    <x v="83"/>
    <d v="2025-03-28T00:00:00"/>
    <x v="2"/>
    <x v="1"/>
    <x v="2"/>
    <x v="0"/>
    <x v="2"/>
    <x v="2"/>
    <x v="12"/>
    <x v="2"/>
  </r>
  <r>
    <s v="TX502272"/>
    <x v="17"/>
    <x v="9"/>
    <n v="45.2"/>
    <x v="326"/>
    <x v="83"/>
    <d v="2025-03-28T00:00:00"/>
    <x v="2"/>
    <x v="1"/>
    <x v="0"/>
    <x v="0"/>
    <x v="22"/>
    <x v="2"/>
    <x v="12"/>
    <x v="2"/>
  </r>
  <r>
    <s v="TX502273"/>
    <x v="15"/>
    <x v="12"/>
    <n v="27.4"/>
    <x v="1239"/>
    <x v="83"/>
    <d v="2025-03-27T00:00:00"/>
    <x v="2"/>
    <x v="0"/>
    <x v="0"/>
    <x v="0"/>
    <x v="3"/>
    <x v="1"/>
    <x v="12"/>
    <x v="2"/>
  </r>
  <r>
    <s v="TX502274"/>
    <x v="5"/>
    <x v="9"/>
    <n v="34.1"/>
    <x v="1691"/>
    <x v="83"/>
    <d v="2025-03-27T00:00:00"/>
    <x v="1"/>
    <x v="0"/>
    <x v="2"/>
    <x v="0"/>
    <x v="3"/>
    <x v="1"/>
    <x v="12"/>
    <x v="1"/>
  </r>
  <r>
    <s v="TX502275"/>
    <x v="0"/>
    <x v="1"/>
    <n v="26"/>
    <x v="1692"/>
    <x v="83"/>
    <d v="2025-03-27T00:00:00"/>
    <x v="1"/>
    <x v="2"/>
    <x v="1"/>
    <x v="0"/>
    <x v="3"/>
    <x v="1"/>
    <x v="12"/>
    <x v="1"/>
  </r>
  <r>
    <s v="TX502276"/>
    <x v="8"/>
    <x v="3"/>
    <n v="19.399999999999999"/>
    <x v="1693"/>
    <x v="83"/>
    <d v="2025-03-27T00:00:00"/>
    <x v="0"/>
    <x v="1"/>
    <x v="1"/>
    <x v="0"/>
    <x v="3"/>
    <x v="1"/>
    <x v="12"/>
    <x v="0"/>
  </r>
  <r>
    <s v="TX502277"/>
    <x v="16"/>
    <x v="2"/>
    <n v="30.3"/>
    <x v="407"/>
    <x v="83"/>
    <d v="2025-03-28T00:00:00"/>
    <x v="2"/>
    <x v="1"/>
    <x v="2"/>
    <x v="0"/>
    <x v="3"/>
    <x v="2"/>
    <x v="12"/>
    <x v="2"/>
  </r>
  <r>
    <s v="TX502278"/>
    <x v="2"/>
    <x v="2"/>
    <n v="101.4"/>
    <x v="1694"/>
    <x v="83"/>
    <d v="2025-03-26T00:00:00"/>
    <x v="1"/>
    <x v="0"/>
    <x v="0"/>
    <x v="0"/>
    <x v="3"/>
    <x v="3"/>
    <x v="12"/>
    <x v="1"/>
  </r>
  <r>
    <s v="TX502279"/>
    <x v="3"/>
    <x v="9"/>
    <n v="55.5"/>
    <x v="819"/>
    <x v="83"/>
    <d v="2025-03-28T00:00:00"/>
    <x v="1"/>
    <x v="1"/>
    <x v="0"/>
    <x v="0"/>
    <x v="24"/>
    <x v="2"/>
    <x v="12"/>
    <x v="1"/>
  </r>
  <r>
    <s v="TX502280"/>
    <x v="8"/>
    <x v="0"/>
    <n v="23.1"/>
    <x v="1695"/>
    <x v="83"/>
    <d v="2025-03-26T00:00:00"/>
    <x v="1"/>
    <x v="0"/>
    <x v="0"/>
    <x v="0"/>
    <x v="25"/>
    <x v="3"/>
    <x v="12"/>
    <x v="1"/>
  </r>
  <r>
    <s v="TX502281"/>
    <x v="18"/>
    <x v="1"/>
    <n v="38.9"/>
    <x v="482"/>
    <x v="83"/>
    <d v="2025-03-26T00:00:00"/>
    <x v="1"/>
    <x v="2"/>
    <x v="0"/>
    <x v="0"/>
    <x v="25"/>
    <x v="3"/>
    <x v="12"/>
    <x v="1"/>
  </r>
  <r>
    <s v="TX502282"/>
    <x v="6"/>
    <x v="11"/>
    <n v="116.3"/>
    <x v="1696"/>
    <x v="83"/>
    <d v="2025-03-29T00:00:00"/>
    <x v="2"/>
    <x v="0"/>
    <x v="0"/>
    <x v="0"/>
    <x v="5"/>
    <x v="5"/>
    <x v="12"/>
    <x v="2"/>
  </r>
  <r>
    <s v="TX502283"/>
    <x v="16"/>
    <x v="11"/>
    <n v="64.099999999999994"/>
    <x v="1697"/>
    <x v="83"/>
    <d v="2025-03-25T00:00:00"/>
    <x v="2"/>
    <x v="0"/>
    <x v="2"/>
    <x v="0"/>
    <x v="6"/>
    <x v="7"/>
    <x v="12"/>
    <x v="2"/>
  </r>
  <r>
    <s v="TX502284"/>
    <x v="2"/>
    <x v="13"/>
    <n v="109.2"/>
    <x v="1698"/>
    <x v="83"/>
    <d v="2025-03-27T00:00:00"/>
    <x v="1"/>
    <x v="0"/>
    <x v="1"/>
    <x v="0"/>
    <x v="8"/>
    <x v="1"/>
    <x v="12"/>
    <x v="1"/>
  </r>
  <r>
    <s v="TX502285"/>
    <x v="10"/>
    <x v="9"/>
    <n v="23.2"/>
    <x v="1699"/>
    <x v="84"/>
    <d v="2025-03-27T00:00:00"/>
    <x v="1"/>
    <x v="0"/>
    <x v="1"/>
    <x v="0"/>
    <x v="8"/>
    <x v="3"/>
    <x v="12"/>
    <x v="1"/>
  </r>
  <r>
    <s v="TX502286"/>
    <x v="18"/>
    <x v="13"/>
    <n v="81.2"/>
    <x v="1700"/>
    <x v="84"/>
    <d v="2025-03-28T00:00:00"/>
    <x v="1"/>
    <x v="2"/>
    <x v="2"/>
    <x v="0"/>
    <x v="8"/>
    <x v="1"/>
    <x v="12"/>
    <x v="1"/>
  </r>
  <r>
    <s v="TX502287"/>
    <x v="1"/>
    <x v="21"/>
    <n v="35.700000000000003"/>
    <x v="1701"/>
    <x v="84"/>
    <d v="2025-03-27T00:00:00"/>
    <x v="1"/>
    <x v="3"/>
    <x v="0"/>
    <x v="0"/>
    <x v="8"/>
    <x v="3"/>
    <x v="12"/>
    <x v="1"/>
  </r>
  <r>
    <s v="TX502288"/>
    <x v="7"/>
    <x v="1"/>
    <n v="44.5"/>
    <x v="1702"/>
    <x v="84"/>
    <d v="2025-03-29T00:00:00"/>
    <x v="1"/>
    <x v="4"/>
    <x v="0"/>
    <x v="0"/>
    <x v="9"/>
    <x v="2"/>
    <x v="12"/>
    <x v="1"/>
  </r>
  <r>
    <s v="TX502289"/>
    <x v="1"/>
    <x v="9"/>
    <n v="32"/>
    <x v="444"/>
    <x v="84"/>
    <d v="2025-03-28T00:00:00"/>
    <x v="3"/>
    <x v="1"/>
    <x v="1"/>
    <x v="0"/>
    <x v="9"/>
    <x v="1"/>
    <x v="12"/>
    <x v="3"/>
  </r>
  <r>
    <s v="TX502290"/>
    <x v="8"/>
    <x v="0"/>
    <n v="25.7"/>
    <x v="1703"/>
    <x v="84"/>
    <d v="2025-03-27T00:00:00"/>
    <x v="1"/>
    <x v="0"/>
    <x v="0"/>
    <x v="0"/>
    <x v="10"/>
    <x v="3"/>
    <x v="12"/>
    <x v="1"/>
  </r>
  <r>
    <s v="TX502291"/>
    <x v="16"/>
    <x v="2"/>
    <n v="65.599999999999994"/>
    <x v="487"/>
    <x v="84"/>
    <d v="2025-04-01T00:00:00"/>
    <x v="1"/>
    <x v="0"/>
    <x v="0"/>
    <x v="0"/>
    <x v="11"/>
    <x v="4"/>
    <x v="12"/>
    <x v="1"/>
  </r>
  <r>
    <s v="TX502292"/>
    <x v="1"/>
    <x v="12"/>
    <n v="52.1"/>
    <x v="1704"/>
    <x v="84"/>
    <d v="2025-03-27T00:00:00"/>
    <x v="2"/>
    <x v="0"/>
    <x v="2"/>
    <x v="0"/>
    <x v="11"/>
    <x v="3"/>
    <x v="12"/>
    <x v="2"/>
  </r>
  <r>
    <s v="TX502293"/>
    <x v="8"/>
    <x v="0"/>
    <n v="31"/>
    <x v="1705"/>
    <x v="84"/>
    <d v="2025-03-27T00:00:00"/>
    <x v="1"/>
    <x v="0"/>
    <x v="1"/>
    <x v="0"/>
    <x v="19"/>
    <x v="3"/>
    <x v="12"/>
    <x v="1"/>
  </r>
  <r>
    <s v="TX502294"/>
    <x v="8"/>
    <x v="0"/>
    <n v="32"/>
    <x v="109"/>
    <x v="84"/>
    <d v="2025-03-28T00:00:00"/>
    <x v="3"/>
    <x v="3"/>
    <x v="1"/>
    <x v="0"/>
    <x v="31"/>
    <x v="1"/>
    <x v="12"/>
    <x v="3"/>
  </r>
  <r>
    <s v="TX502295"/>
    <x v="16"/>
    <x v="12"/>
    <n v="58.3"/>
    <x v="1706"/>
    <x v="84"/>
    <d v="2025-03-30T00:00:00"/>
    <x v="1"/>
    <x v="1"/>
    <x v="4"/>
    <x v="0"/>
    <x v="20"/>
    <x v="5"/>
    <x v="12"/>
    <x v="1"/>
  </r>
  <r>
    <s v="TX502296"/>
    <x v="8"/>
    <x v="2"/>
    <n v="31"/>
    <x v="1707"/>
    <x v="84"/>
    <d v="2025-03-28T00:00:00"/>
    <x v="2"/>
    <x v="2"/>
    <x v="4"/>
    <x v="0"/>
    <x v="13"/>
    <x v="1"/>
    <x v="12"/>
    <x v="2"/>
  </r>
  <r>
    <s v="TX502297"/>
    <x v="3"/>
    <x v="0"/>
    <n v="40.299999999999997"/>
    <x v="518"/>
    <x v="84"/>
    <d v="2025-03-27T00:00:00"/>
    <x v="1"/>
    <x v="1"/>
    <x v="2"/>
    <x v="0"/>
    <x v="54"/>
    <x v="3"/>
    <x v="12"/>
    <x v="1"/>
  </r>
  <r>
    <s v="TX502298"/>
    <x v="6"/>
    <x v="2"/>
    <n v="47.3"/>
    <x v="1708"/>
    <x v="84"/>
    <d v="2025-03-28T00:00:00"/>
    <x v="1"/>
    <x v="4"/>
    <x v="2"/>
    <x v="0"/>
    <x v="2"/>
    <x v="1"/>
    <x v="12"/>
    <x v="1"/>
  </r>
  <r>
    <s v="TX502299"/>
    <x v="2"/>
    <x v="0"/>
    <n v="82.8"/>
    <x v="1182"/>
    <x v="84"/>
    <d v="2025-03-27T00:00:00"/>
    <x v="1"/>
    <x v="0"/>
    <x v="0"/>
    <x v="0"/>
    <x v="2"/>
    <x v="3"/>
    <x v="12"/>
    <x v="1"/>
  </r>
  <r>
    <s v="TX502300"/>
    <x v="8"/>
    <x v="0"/>
    <n v="18.5"/>
    <x v="1709"/>
    <x v="84"/>
    <d v="2025-04-09T00:00:00"/>
    <x v="2"/>
    <x v="0"/>
    <x v="0"/>
    <x v="0"/>
    <x v="44"/>
    <x v="12"/>
    <x v="12"/>
    <x v="2"/>
  </r>
  <r>
    <s v="TX502301"/>
    <x v="3"/>
    <x v="1"/>
    <n v="60.4"/>
    <x v="1710"/>
    <x v="84"/>
    <d v="2025-03-27T00:00:00"/>
    <x v="1"/>
    <x v="2"/>
    <x v="0"/>
    <x v="0"/>
    <x v="22"/>
    <x v="3"/>
    <x v="12"/>
    <x v="1"/>
  </r>
  <r>
    <s v="TX502302"/>
    <x v="6"/>
    <x v="9"/>
    <n v="80.2"/>
    <x v="1711"/>
    <x v="84"/>
    <d v="2025-04-02T00:00:00"/>
    <x v="1"/>
    <x v="1"/>
    <x v="1"/>
    <x v="0"/>
    <x v="50"/>
    <x v="6"/>
    <x v="12"/>
    <x v="1"/>
  </r>
  <r>
    <s v="TX502303"/>
    <x v="4"/>
    <x v="0"/>
    <n v="41.5"/>
    <x v="1712"/>
    <x v="84"/>
    <d v="2025-03-28T00:00:00"/>
    <x v="1"/>
    <x v="2"/>
    <x v="0"/>
    <x v="0"/>
    <x v="3"/>
    <x v="1"/>
    <x v="12"/>
    <x v="1"/>
  </r>
  <r>
    <s v="TX502304"/>
    <x v="2"/>
    <x v="1"/>
    <n v="83.9"/>
    <x v="1713"/>
    <x v="84"/>
    <d v="2025-03-29T00:00:00"/>
    <x v="2"/>
    <x v="0"/>
    <x v="0"/>
    <x v="0"/>
    <x v="3"/>
    <x v="2"/>
    <x v="12"/>
    <x v="2"/>
  </r>
  <r>
    <s v="TX502305"/>
    <x v="8"/>
    <x v="1"/>
    <n v="16.7"/>
    <x v="1417"/>
    <x v="84"/>
    <d v="2025-03-30T00:00:00"/>
    <x v="2"/>
    <x v="0"/>
    <x v="1"/>
    <x v="0"/>
    <x v="3"/>
    <x v="5"/>
    <x v="12"/>
    <x v="2"/>
  </r>
  <r>
    <s v="TX502306"/>
    <x v="9"/>
    <x v="1"/>
    <n v="72.900000000000006"/>
    <x v="1626"/>
    <x v="84"/>
    <d v="2025-03-27T00:00:00"/>
    <x v="1"/>
    <x v="2"/>
    <x v="1"/>
    <x v="0"/>
    <x v="3"/>
    <x v="3"/>
    <x v="12"/>
    <x v="1"/>
  </r>
  <r>
    <s v="TX502307"/>
    <x v="5"/>
    <x v="1"/>
    <n v="50.2"/>
    <x v="862"/>
    <x v="84"/>
    <d v="2025-03-28T00:00:00"/>
    <x v="2"/>
    <x v="1"/>
    <x v="2"/>
    <x v="0"/>
    <x v="3"/>
    <x v="1"/>
    <x v="12"/>
    <x v="2"/>
  </r>
  <r>
    <s v="TX502308"/>
    <x v="3"/>
    <x v="1"/>
    <n v="34.200000000000003"/>
    <x v="1714"/>
    <x v="84"/>
    <d v="2025-04-05T00:00:00"/>
    <x v="0"/>
    <x v="1"/>
    <x v="0"/>
    <x v="0"/>
    <x v="3"/>
    <x v="14"/>
    <x v="12"/>
    <x v="0"/>
  </r>
  <r>
    <s v="TX502309"/>
    <x v="5"/>
    <x v="1"/>
    <n v="107.9"/>
    <x v="1715"/>
    <x v="84"/>
    <d v="2025-03-26T00:00:00"/>
    <x v="1"/>
    <x v="1"/>
    <x v="4"/>
    <x v="0"/>
    <x v="3"/>
    <x v="7"/>
    <x v="12"/>
    <x v="1"/>
  </r>
  <r>
    <s v="TX502310"/>
    <x v="0"/>
    <x v="2"/>
    <n v="17.5"/>
    <x v="413"/>
    <x v="84"/>
    <d v="2025-03-28T00:00:00"/>
    <x v="1"/>
    <x v="4"/>
    <x v="0"/>
    <x v="0"/>
    <x v="3"/>
    <x v="1"/>
    <x v="12"/>
    <x v="1"/>
  </r>
  <r>
    <s v="TX502311"/>
    <x v="13"/>
    <x v="20"/>
    <n v="44.7"/>
    <x v="1716"/>
    <x v="84"/>
    <d v="2025-03-27T00:00:00"/>
    <x v="1"/>
    <x v="0"/>
    <x v="1"/>
    <x v="0"/>
    <x v="3"/>
    <x v="3"/>
    <x v="12"/>
    <x v="1"/>
  </r>
  <r>
    <s v="TX502312"/>
    <x v="12"/>
    <x v="13"/>
    <n v="92.7"/>
    <x v="1717"/>
    <x v="84"/>
    <d v="2025-03-28T00:00:00"/>
    <x v="2"/>
    <x v="2"/>
    <x v="1"/>
    <x v="0"/>
    <x v="3"/>
    <x v="1"/>
    <x v="12"/>
    <x v="2"/>
  </r>
  <r>
    <s v="TX502313"/>
    <x v="7"/>
    <x v="2"/>
    <n v="48.8"/>
    <x v="1718"/>
    <x v="84"/>
    <d v="2025-03-28T00:00:00"/>
    <x v="2"/>
    <x v="2"/>
    <x v="0"/>
    <x v="0"/>
    <x v="3"/>
    <x v="1"/>
    <x v="12"/>
    <x v="2"/>
  </r>
  <r>
    <s v="TX502314"/>
    <x v="4"/>
    <x v="27"/>
    <n v="21.3"/>
    <x v="1153"/>
    <x v="84"/>
    <d v="2025-03-30T00:00:00"/>
    <x v="2"/>
    <x v="3"/>
    <x v="3"/>
    <x v="0"/>
    <x v="3"/>
    <x v="5"/>
    <x v="12"/>
    <x v="2"/>
  </r>
  <r>
    <s v="TX502315"/>
    <x v="16"/>
    <x v="0"/>
    <n v="52.5"/>
    <x v="413"/>
    <x v="84"/>
    <d v="2025-03-27T00:00:00"/>
    <x v="2"/>
    <x v="0"/>
    <x v="0"/>
    <x v="0"/>
    <x v="3"/>
    <x v="3"/>
    <x v="12"/>
    <x v="2"/>
  </r>
  <r>
    <s v="TX502316"/>
    <x v="1"/>
    <x v="1"/>
    <n v="92.4"/>
    <x v="827"/>
    <x v="84"/>
    <d v="2025-04-01T00:00:00"/>
    <x v="2"/>
    <x v="0"/>
    <x v="2"/>
    <x v="0"/>
    <x v="3"/>
    <x v="4"/>
    <x v="12"/>
    <x v="2"/>
  </r>
  <r>
    <s v="TX502317"/>
    <x v="4"/>
    <x v="5"/>
    <n v="58.3"/>
    <x v="1719"/>
    <x v="84"/>
    <d v="2025-03-28T00:00:00"/>
    <x v="1"/>
    <x v="1"/>
    <x v="2"/>
    <x v="0"/>
    <x v="3"/>
    <x v="1"/>
    <x v="12"/>
    <x v="1"/>
  </r>
  <r>
    <s v="TX502318"/>
    <x v="6"/>
    <x v="44"/>
    <n v="152.6"/>
    <x v="1720"/>
    <x v="85"/>
    <d v="2025-03-29T00:00:00"/>
    <x v="0"/>
    <x v="0"/>
    <x v="0"/>
    <x v="0"/>
    <x v="3"/>
    <x v="1"/>
    <x v="12"/>
    <x v="0"/>
  </r>
  <r>
    <s v="TX502319"/>
    <x v="8"/>
    <x v="1"/>
    <n v="26"/>
    <x v="1692"/>
    <x v="85"/>
    <d v="2025-03-27T00:00:00"/>
    <x v="0"/>
    <x v="0"/>
    <x v="1"/>
    <x v="0"/>
    <x v="3"/>
    <x v="7"/>
    <x v="12"/>
    <x v="0"/>
  </r>
  <r>
    <s v="TX502320"/>
    <x v="1"/>
    <x v="12"/>
    <n v="33.1"/>
    <x v="979"/>
    <x v="85"/>
    <d v="2025-03-27T00:00:00"/>
    <x v="1"/>
    <x v="2"/>
    <x v="4"/>
    <x v="0"/>
    <x v="5"/>
    <x v="7"/>
    <x v="12"/>
    <x v="1"/>
  </r>
  <r>
    <s v="TX502321"/>
    <x v="18"/>
    <x v="0"/>
    <n v="51.4"/>
    <x v="1045"/>
    <x v="85"/>
    <d v="2025-03-29T00:00:00"/>
    <x v="2"/>
    <x v="1"/>
    <x v="1"/>
    <x v="0"/>
    <x v="5"/>
    <x v="1"/>
    <x v="12"/>
    <x v="2"/>
  </r>
  <r>
    <s v="TX502322"/>
    <x v="8"/>
    <x v="1"/>
    <n v="30.2"/>
    <x v="266"/>
    <x v="85"/>
    <d v="2025-03-28T00:00:00"/>
    <x v="2"/>
    <x v="2"/>
    <x v="2"/>
    <x v="0"/>
    <x v="6"/>
    <x v="3"/>
    <x v="12"/>
    <x v="2"/>
  </r>
  <r>
    <s v="TX502323"/>
    <x v="2"/>
    <x v="13"/>
    <n v="97"/>
    <x v="1544"/>
    <x v="85"/>
    <d v="2025-03-31T00:00:00"/>
    <x v="2"/>
    <x v="0"/>
    <x v="2"/>
    <x v="0"/>
    <x v="7"/>
    <x v="5"/>
    <x v="12"/>
    <x v="2"/>
  </r>
  <r>
    <s v="TX502324"/>
    <x v="2"/>
    <x v="0"/>
    <n v="76.900000000000006"/>
    <x v="1721"/>
    <x v="85"/>
    <d v="2025-03-28T00:00:00"/>
    <x v="1"/>
    <x v="1"/>
    <x v="2"/>
    <x v="0"/>
    <x v="8"/>
    <x v="3"/>
    <x v="12"/>
    <x v="1"/>
  </r>
  <r>
    <s v="TX502325"/>
    <x v="7"/>
    <x v="13"/>
    <n v="36.1"/>
    <x v="1722"/>
    <x v="85"/>
    <d v="2025-03-31T00:00:00"/>
    <x v="2"/>
    <x v="0"/>
    <x v="0"/>
    <x v="0"/>
    <x v="8"/>
    <x v="5"/>
    <x v="12"/>
    <x v="2"/>
  </r>
  <r>
    <s v="TX502326"/>
    <x v="1"/>
    <x v="3"/>
    <n v="34.4"/>
    <x v="1723"/>
    <x v="85"/>
    <d v="2025-03-27T00:00:00"/>
    <x v="2"/>
    <x v="2"/>
    <x v="1"/>
    <x v="0"/>
    <x v="11"/>
    <x v="7"/>
    <x v="12"/>
    <x v="2"/>
  </r>
  <r>
    <s v="TX502327"/>
    <x v="1"/>
    <x v="31"/>
    <n v="53.4"/>
    <x v="1724"/>
    <x v="85"/>
    <d v="2025-03-29T00:00:00"/>
    <x v="2"/>
    <x v="1"/>
    <x v="0"/>
    <x v="0"/>
    <x v="18"/>
    <x v="1"/>
    <x v="12"/>
    <x v="2"/>
  </r>
  <r>
    <s v="TX502328"/>
    <x v="2"/>
    <x v="0"/>
    <n v="77.599999999999994"/>
    <x v="1598"/>
    <x v="85"/>
    <d v="2025-03-28T00:00:00"/>
    <x v="2"/>
    <x v="0"/>
    <x v="1"/>
    <x v="0"/>
    <x v="19"/>
    <x v="3"/>
    <x v="12"/>
    <x v="2"/>
  </r>
  <r>
    <s v="TX502329"/>
    <x v="1"/>
    <x v="2"/>
    <n v="71.7"/>
    <x v="1725"/>
    <x v="85"/>
    <d v="2025-03-30T00:00:00"/>
    <x v="2"/>
    <x v="1"/>
    <x v="0"/>
    <x v="0"/>
    <x v="19"/>
    <x v="2"/>
    <x v="12"/>
    <x v="2"/>
  </r>
  <r>
    <s v="TX502330"/>
    <x v="3"/>
    <x v="2"/>
    <n v="80.599999999999994"/>
    <x v="1726"/>
    <x v="85"/>
    <d v="2025-03-28T00:00:00"/>
    <x v="1"/>
    <x v="4"/>
    <x v="1"/>
    <x v="0"/>
    <x v="19"/>
    <x v="3"/>
    <x v="12"/>
    <x v="1"/>
  </r>
  <r>
    <s v="TX502331"/>
    <x v="1"/>
    <x v="20"/>
    <n v="70"/>
    <x v="1727"/>
    <x v="85"/>
    <d v="2025-03-29T00:00:00"/>
    <x v="1"/>
    <x v="0"/>
    <x v="0"/>
    <x v="0"/>
    <x v="20"/>
    <x v="1"/>
    <x v="12"/>
    <x v="1"/>
  </r>
  <r>
    <s v="TX502332"/>
    <x v="4"/>
    <x v="13"/>
    <n v="27.3"/>
    <x v="1728"/>
    <x v="85"/>
    <d v="2025-03-29T00:00:00"/>
    <x v="2"/>
    <x v="1"/>
    <x v="1"/>
    <x v="0"/>
    <x v="2"/>
    <x v="1"/>
    <x v="12"/>
    <x v="2"/>
  </r>
  <r>
    <s v="TX502333"/>
    <x v="8"/>
    <x v="21"/>
    <n v="37.6"/>
    <x v="1729"/>
    <x v="85"/>
    <d v="2025-03-29T00:00:00"/>
    <x v="1"/>
    <x v="1"/>
    <x v="0"/>
    <x v="0"/>
    <x v="3"/>
    <x v="1"/>
    <x v="12"/>
    <x v="1"/>
  </r>
  <r>
    <s v="TX502334"/>
    <x v="5"/>
    <x v="2"/>
    <n v="36.6"/>
    <x v="17"/>
    <x v="85"/>
    <d v="2025-03-29T00:00:00"/>
    <x v="2"/>
    <x v="4"/>
    <x v="0"/>
    <x v="0"/>
    <x v="3"/>
    <x v="1"/>
    <x v="12"/>
    <x v="2"/>
  </r>
  <r>
    <s v="TX502335"/>
    <x v="13"/>
    <x v="0"/>
    <n v="55.2"/>
    <x v="291"/>
    <x v="85"/>
    <d v="2025-03-29T00:00:00"/>
    <x v="1"/>
    <x v="3"/>
    <x v="0"/>
    <x v="0"/>
    <x v="3"/>
    <x v="1"/>
    <x v="12"/>
    <x v="1"/>
  </r>
  <r>
    <s v="TX502336"/>
    <x v="6"/>
    <x v="9"/>
    <n v="59.9"/>
    <x v="1444"/>
    <x v="85"/>
    <d v="2025-03-29T00:00:00"/>
    <x v="1"/>
    <x v="0"/>
    <x v="0"/>
    <x v="0"/>
    <x v="3"/>
    <x v="1"/>
    <x v="12"/>
    <x v="1"/>
  </r>
  <r>
    <s v="TX502337"/>
    <x v="6"/>
    <x v="0"/>
    <n v="44"/>
    <x v="945"/>
    <x v="85"/>
    <d v="2025-03-28T00:00:00"/>
    <x v="2"/>
    <x v="2"/>
    <x v="2"/>
    <x v="0"/>
    <x v="3"/>
    <x v="3"/>
    <x v="12"/>
    <x v="2"/>
  </r>
  <r>
    <s v="TX502338"/>
    <x v="9"/>
    <x v="1"/>
    <n v="68.7"/>
    <x v="1730"/>
    <x v="85"/>
    <d v="2025-03-27T00:00:00"/>
    <x v="1"/>
    <x v="0"/>
    <x v="0"/>
    <x v="0"/>
    <x v="3"/>
    <x v="7"/>
    <x v="12"/>
    <x v="1"/>
  </r>
  <r>
    <s v="TX502339"/>
    <x v="5"/>
    <x v="1"/>
    <n v="61.6"/>
    <x v="1432"/>
    <x v="85"/>
    <d v="2025-03-31T00:00:00"/>
    <x v="1"/>
    <x v="3"/>
    <x v="1"/>
    <x v="0"/>
    <x v="3"/>
    <x v="5"/>
    <x v="12"/>
    <x v="1"/>
  </r>
  <r>
    <s v="TX502340"/>
    <x v="7"/>
    <x v="3"/>
    <n v="51.8"/>
    <x v="1731"/>
    <x v="85"/>
    <d v="2025-03-28T00:00:00"/>
    <x v="1"/>
    <x v="0"/>
    <x v="0"/>
    <x v="0"/>
    <x v="3"/>
    <x v="3"/>
    <x v="12"/>
    <x v="1"/>
  </r>
  <r>
    <s v="TX502341"/>
    <x v="8"/>
    <x v="7"/>
    <n v="46.2"/>
    <x v="1236"/>
    <x v="85"/>
    <d v="2025-03-29T00:00:00"/>
    <x v="1"/>
    <x v="1"/>
    <x v="2"/>
    <x v="0"/>
    <x v="3"/>
    <x v="1"/>
    <x v="12"/>
    <x v="1"/>
  </r>
  <r>
    <s v="TX502342"/>
    <x v="0"/>
    <x v="1"/>
    <n v="19.399999999999999"/>
    <x v="1732"/>
    <x v="85"/>
    <d v="2025-03-29T00:00:00"/>
    <x v="2"/>
    <x v="1"/>
    <x v="2"/>
    <x v="0"/>
    <x v="6"/>
    <x v="1"/>
    <x v="12"/>
    <x v="2"/>
  </r>
  <r>
    <s v="TX502343"/>
    <x v="11"/>
    <x v="2"/>
    <n v="52.1"/>
    <x v="1733"/>
    <x v="85"/>
    <d v="2025-03-30T00:00:00"/>
    <x v="1"/>
    <x v="3"/>
    <x v="3"/>
    <x v="0"/>
    <x v="6"/>
    <x v="2"/>
    <x v="12"/>
    <x v="1"/>
  </r>
  <r>
    <s v="TX502344"/>
    <x v="6"/>
    <x v="0"/>
    <n v="74.900000000000006"/>
    <x v="1734"/>
    <x v="85"/>
    <d v="2025-03-29T00:00:00"/>
    <x v="3"/>
    <x v="0"/>
    <x v="0"/>
    <x v="0"/>
    <x v="7"/>
    <x v="1"/>
    <x v="12"/>
    <x v="3"/>
  </r>
  <r>
    <s v="TX502345"/>
    <x v="9"/>
    <x v="3"/>
    <n v="49.6"/>
    <x v="1735"/>
    <x v="85"/>
    <d v="2025-03-30T00:00:00"/>
    <x v="2"/>
    <x v="4"/>
    <x v="0"/>
    <x v="0"/>
    <x v="8"/>
    <x v="2"/>
    <x v="12"/>
    <x v="2"/>
  </r>
  <r>
    <s v="TX502346"/>
    <x v="16"/>
    <x v="12"/>
    <n v="82.8"/>
    <x v="1736"/>
    <x v="86"/>
    <d v="2025-03-31T00:00:00"/>
    <x v="2"/>
    <x v="4"/>
    <x v="0"/>
    <x v="0"/>
    <x v="8"/>
    <x v="2"/>
    <x v="12"/>
    <x v="2"/>
  </r>
  <r>
    <s v="TX502347"/>
    <x v="2"/>
    <x v="0"/>
    <n v="97.7"/>
    <x v="68"/>
    <x v="86"/>
    <d v="2025-03-29T00:00:00"/>
    <x v="2"/>
    <x v="1"/>
    <x v="0"/>
    <x v="0"/>
    <x v="8"/>
    <x v="3"/>
    <x v="12"/>
    <x v="2"/>
  </r>
  <r>
    <s v="TX502348"/>
    <x v="6"/>
    <x v="9"/>
    <n v="83.6"/>
    <x v="378"/>
    <x v="86"/>
    <d v="2025-03-29T00:00:00"/>
    <x v="2"/>
    <x v="4"/>
    <x v="0"/>
    <x v="0"/>
    <x v="8"/>
    <x v="3"/>
    <x v="12"/>
    <x v="2"/>
  </r>
  <r>
    <s v="TX502349"/>
    <x v="8"/>
    <x v="9"/>
    <n v="23.5"/>
    <x v="1737"/>
    <x v="86"/>
    <d v="2025-04-01T00:00:00"/>
    <x v="3"/>
    <x v="0"/>
    <x v="0"/>
    <x v="0"/>
    <x v="8"/>
    <x v="5"/>
    <x v="12"/>
    <x v="3"/>
  </r>
  <r>
    <s v="TX502350"/>
    <x v="9"/>
    <x v="2"/>
    <n v="44.6"/>
    <x v="981"/>
    <x v="86"/>
    <d v="2025-03-31T00:00:00"/>
    <x v="2"/>
    <x v="4"/>
    <x v="1"/>
    <x v="0"/>
    <x v="26"/>
    <x v="2"/>
    <x v="12"/>
    <x v="2"/>
  </r>
  <r>
    <s v="TX502351"/>
    <x v="0"/>
    <x v="2"/>
    <n v="20.100000000000001"/>
    <x v="1738"/>
    <x v="86"/>
    <d v="2025-03-30T00:00:00"/>
    <x v="2"/>
    <x v="3"/>
    <x v="4"/>
    <x v="0"/>
    <x v="11"/>
    <x v="1"/>
    <x v="12"/>
    <x v="2"/>
  </r>
  <r>
    <s v="TX502352"/>
    <x v="2"/>
    <x v="9"/>
    <n v="153.6"/>
    <x v="1739"/>
    <x v="86"/>
    <d v="2025-03-29T00:00:00"/>
    <x v="2"/>
    <x v="1"/>
    <x v="2"/>
    <x v="0"/>
    <x v="53"/>
    <x v="3"/>
    <x v="12"/>
    <x v="2"/>
  </r>
  <r>
    <s v="TX502353"/>
    <x v="1"/>
    <x v="1"/>
    <n v="71.8"/>
    <x v="897"/>
    <x v="86"/>
    <d v="2025-04-01T00:00:00"/>
    <x v="2"/>
    <x v="1"/>
    <x v="0"/>
    <x v="0"/>
    <x v="1"/>
    <x v="5"/>
    <x v="12"/>
    <x v="2"/>
  </r>
  <r>
    <s v="TX502354"/>
    <x v="10"/>
    <x v="0"/>
    <n v="64.7"/>
    <x v="1740"/>
    <x v="86"/>
    <d v="2025-03-30T00:00:00"/>
    <x v="0"/>
    <x v="0"/>
    <x v="1"/>
    <x v="0"/>
    <x v="1"/>
    <x v="1"/>
    <x v="12"/>
    <x v="0"/>
  </r>
  <r>
    <s v="TX502355"/>
    <x v="9"/>
    <x v="8"/>
    <n v="60.4"/>
    <x v="1741"/>
    <x v="86"/>
    <d v="2025-03-30T00:00:00"/>
    <x v="2"/>
    <x v="3"/>
    <x v="2"/>
    <x v="0"/>
    <x v="2"/>
    <x v="1"/>
    <x v="12"/>
    <x v="2"/>
  </r>
  <r>
    <s v="TX502356"/>
    <x v="6"/>
    <x v="12"/>
    <n v="86"/>
    <x v="1213"/>
    <x v="86"/>
    <d v="2025-03-31T00:00:00"/>
    <x v="2"/>
    <x v="2"/>
    <x v="2"/>
    <x v="0"/>
    <x v="22"/>
    <x v="2"/>
    <x v="12"/>
    <x v="2"/>
  </r>
  <r>
    <s v="TX502357"/>
    <x v="12"/>
    <x v="1"/>
    <n v="42.1"/>
    <x v="903"/>
    <x v="86"/>
    <d v="2025-03-29T00:00:00"/>
    <x v="2"/>
    <x v="4"/>
    <x v="1"/>
    <x v="0"/>
    <x v="34"/>
    <x v="3"/>
    <x v="12"/>
    <x v="2"/>
  </r>
  <r>
    <s v="TX502358"/>
    <x v="16"/>
    <x v="11"/>
    <n v="51.1"/>
    <x v="1742"/>
    <x v="86"/>
    <d v="2025-03-29T00:00:00"/>
    <x v="1"/>
    <x v="2"/>
    <x v="1"/>
    <x v="0"/>
    <x v="3"/>
    <x v="3"/>
    <x v="12"/>
    <x v="1"/>
  </r>
  <r>
    <s v="TX502359"/>
    <x v="9"/>
    <x v="12"/>
    <n v="73.8"/>
    <x v="1743"/>
    <x v="86"/>
    <d v="2025-03-29T00:00:00"/>
    <x v="1"/>
    <x v="4"/>
    <x v="0"/>
    <x v="0"/>
    <x v="3"/>
    <x v="3"/>
    <x v="12"/>
    <x v="1"/>
  </r>
  <r>
    <s v="TX502360"/>
    <x v="8"/>
    <x v="9"/>
    <n v="27"/>
    <x v="340"/>
    <x v="86"/>
    <d v="2025-03-31T00:00:00"/>
    <x v="2"/>
    <x v="2"/>
    <x v="2"/>
    <x v="0"/>
    <x v="3"/>
    <x v="2"/>
    <x v="12"/>
    <x v="2"/>
  </r>
  <r>
    <s v="TX502361"/>
    <x v="8"/>
    <x v="13"/>
    <n v="60.1"/>
    <x v="116"/>
    <x v="86"/>
    <d v="2025-03-29T00:00:00"/>
    <x v="1"/>
    <x v="3"/>
    <x v="0"/>
    <x v="0"/>
    <x v="3"/>
    <x v="3"/>
    <x v="12"/>
    <x v="1"/>
  </r>
  <r>
    <s v="TX502362"/>
    <x v="2"/>
    <x v="3"/>
    <n v="94.1"/>
    <x v="1744"/>
    <x v="86"/>
    <d v="2025-03-30T00:00:00"/>
    <x v="2"/>
    <x v="4"/>
    <x v="1"/>
    <x v="0"/>
    <x v="3"/>
    <x v="1"/>
    <x v="12"/>
    <x v="2"/>
  </r>
  <r>
    <s v="TX502363"/>
    <x v="2"/>
    <x v="1"/>
    <n v="124.1"/>
    <x v="1235"/>
    <x v="86"/>
    <d v="2025-03-28T00:00:00"/>
    <x v="2"/>
    <x v="2"/>
    <x v="3"/>
    <x v="0"/>
    <x v="43"/>
    <x v="7"/>
    <x v="12"/>
    <x v="2"/>
  </r>
  <r>
    <s v="TX502364"/>
    <x v="8"/>
    <x v="12"/>
    <n v="16.899999999999999"/>
    <x v="821"/>
    <x v="86"/>
    <d v="2025-03-31T00:00:00"/>
    <x v="1"/>
    <x v="3"/>
    <x v="0"/>
    <x v="0"/>
    <x v="6"/>
    <x v="2"/>
    <x v="12"/>
    <x v="1"/>
  </r>
  <r>
    <s v="TX502365"/>
    <x v="1"/>
    <x v="0"/>
    <n v="36.9"/>
    <x v="1745"/>
    <x v="86"/>
    <d v="2025-03-29T00:00:00"/>
    <x v="1"/>
    <x v="0"/>
    <x v="0"/>
    <x v="0"/>
    <x v="6"/>
    <x v="3"/>
    <x v="12"/>
    <x v="1"/>
  </r>
  <r>
    <s v="TX502366"/>
    <x v="9"/>
    <x v="1"/>
    <n v="22.6"/>
    <x v="705"/>
    <x v="86"/>
    <d v="2025-04-10T00:00:00"/>
    <x v="2"/>
    <x v="2"/>
    <x v="1"/>
    <x v="0"/>
    <x v="8"/>
    <x v="10"/>
    <x v="12"/>
    <x v="2"/>
  </r>
  <r>
    <s v="TX502367"/>
    <x v="7"/>
    <x v="12"/>
    <n v="35"/>
    <x v="1683"/>
    <x v="86"/>
    <d v="2025-04-02T00:00:00"/>
    <x v="1"/>
    <x v="3"/>
    <x v="1"/>
    <x v="0"/>
    <x v="8"/>
    <x v="0"/>
    <x v="12"/>
    <x v="1"/>
  </r>
  <r>
    <s v="TX502368"/>
    <x v="9"/>
    <x v="13"/>
    <n v="63.6"/>
    <x v="1746"/>
    <x v="86"/>
    <d v="2025-04-04T00:00:00"/>
    <x v="0"/>
    <x v="1"/>
    <x v="2"/>
    <x v="0"/>
    <x v="8"/>
    <x v="6"/>
    <x v="12"/>
    <x v="0"/>
  </r>
  <r>
    <s v="TX502369"/>
    <x v="15"/>
    <x v="12"/>
    <n v="78.599999999999994"/>
    <x v="1747"/>
    <x v="86"/>
    <d v="2025-03-29T00:00:00"/>
    <x v="1"/>
    <x v="4"/>
    <x v="1"/>
    <x v="0"/>
    <x v="8"/>
    <x v="3"/>
    <x v="12"/>
    <x v="1"/>
  </r>
  <r>
    <s v="TX502370"/>
    <x v="3"/>
    <x v="1"/>
    <n v="38.5"/>
    <x v="445"/>
    <x v="86"/>
    <d v="2025-03-29T00:00:00"/>
    <x v="1"/>
    <x v="0"/>
    <x v="2"/>
    <x v="0"/>
    <x v="8"/>
    <x v="3"/>
    <x v="12"/>
    <x v="1"/>
  </r>
  <r>
    <s v="TX502371"/>
    <x v="8"/>
    <x v="5"/>
    <n v="71.5"/>
    <x v="1748"/>
    <x v="86"/>
    <d v="2025-03-29T00:00:00"/>
    <x v="2"/>
    <x v="1"/>
    <x v="4"/>
    <x v="0"/>
    <x v="8"/>
    <x v="3"/>
    <x v="12"/>
    <x v="2"/>
  </r>
  <r>
    <s v="TX502372"/>
    <x v="6"/>
    <x v="12"/>
    <n v="121.4"/>
    <x v="1749"/>
    <x v="86"/>
    <d v="2025-04-01T00:00:00"/>
    <x v="1"/>
    <x v="1"/>
    <x v="2"/>
    <x v="0"/>
    <x v="17"/>
    <x v="5"/>
    <x v="12"/>
    <x v="1"/>
  </r>
  <r>
    <s v="TX502373"/>
    <x v="11"/>
    <x v="0"/>
    <n v="40.200000000000003"/>
    <x v="282"/>
    <x v="86"/>
    <d v="2025-03-31T00:00:00"/>
    <x v="2"/>
    <x v="0"/>
    <x v="2"/>
    <x v="0"/>
    <x v="11"/>
    <x v="2"/>
    <x v="12"/>
    <x v="2"/>
  </r>
  <r>
    <s v="TX502374"/>
    <x v="5"/>
    <x v="9"/>
    <n v="31.9"/>
    <x v="1750"/>
    <x v="86"/>
    <d v="2025-03-30T00:00:00"/>
    <x v="2"/>
    <x v="2"/>
    <x v="2"/>
    <x v="0"/>
    <x v="28"/>
    <x v="1"/>
    <x v="12"/>
    <x v="2"/>
  </r>
  <r>
    <s v="TX502375"/>
    <x v="14"/>
    <x v="9"/>
    <n v="15.8"/>
    <x v="1751"/>
    <x v="87"/>
    <d v="2025-03-30T00:00:00"/>
    <x v="1"/>
    <x v="3"/>
    <x v="2"/>
    <x v="0"/>
    <x v="21"/>
    <x v="3"/>
    <x v="12"/>
    <x v="1"/>
  </r>
  <r>
    <s v="TX502376"/>
    <x v="10"/>
    <x v="1"/>
    <n v="25.1"/>
    <x v="486"/>
    <x v="87"/>
    <d v="2025-03-31T00:00:00"/>
    <x v="0"/>
    <x v="1"/>
    <x v="0"/>
    <x v="0"/>
    <x v="21"/>
    <x v="1"/>
    <x v="12"/>
    <x v="0"/>
  </r>
  <r>
    <s v="TX502377"/>
    <x v="1"/>
    <x v="44"/>
    <n v="38.1"/>
    <x v="1752"/>
    <x v="87"/>
    <d v="2025-03-30T00:00:00"/>
    <x v="2"/>
    <x v="4"/>
    <x v="0"/>
    <x v="0"/>
    <x v="1"/>
    <x v="3"/>
    <x v="12"/>
    <x v="2"/>
  </r>
  <r>
    <s v="TX502378"/>
    <x v="3"/>
    <x v="1"/>
    <n v="42.2"/>
    <x v="533"/>
    <x v="87"/>
    <d v="2025-03-31T00:00:00"/>
    <x v="2"/>
    <x v="0"/>
    <x v="2"/>
    <x v="0"/>
    <x v="1"/>
    <x v="1"/>
    <x v="12"/>
    <x v="2"/>
  </r>
  <r>
    <s v="TX502379"/>
    <x v="0"/>
    <x v="7"/>
    <n v="12.3"/>
    <x v="1287"/>
    <x v="87"/>
    <d v="2025-03-30T00:00:00"/>
    <x v="2"/>
    <x v="4"/>
    <x v="0"/>
    <x v="0"/>
    <x v="2"/>
    <x v="3"/>
    <x v="12"/>
    <x v="2"/>
  </r>
  <r>
    <s v="TX502380"/>
    <x v="7"/>
    <x v="0"/>
    <n v="30.2"/>
    <x v="242"/>
    <x v="87"/>
    <d v="2025-03-31T00:00:00"/>
    <x v="2"/>
    <x v="1"/>
    <x v="2"/>
    <x v="0"/>
    <x v="34"/>
    <x v="1"/>
    <x v="12"/>
    <x v="2"/>
  </r>
  <r>
    <s v="TX502381"/>
    <x v="5"/>
    <x v="2"/>
    <n v="25.3"/>
    <x v="1554"/>
    <x v="87"/>
    <d v="2025-04-01T00:00:00"/>
    <x v="2"/>
    <x v="2"/>
    <x v="0"/>
    <x v="0"/>
    <x v="3"/>
    <x v="2"/>
    <x v="12"/>
    <x v="2"/>
  </r>
  <r>
    <s v="TX502382"/>
    <x v="8"/>
    <x v="9"/>
    <n v="29.7"/>
    <x v="1753"/>
    <x v="87"/>
    <d v="2025-03-31T00:00:00"/>
    <x v="1"/>
    <x v="3"/>
    <x v="0"/>
    <x v="0"/>
    <x v="3"/>
    <x v="1"/>
    <x v="12"/>
    <x v="1"/>
  </r>
  <r>
    <s v="TX502383"/>
    <x v="9"/>
    <x v="8"/>
    <n v="32.9"/>
    <x v="1754"/>
    <x v="87"/>
    <d v="2025-03-30T00:00:00"/>
    <x v="0"/>
    <x v="3"/>
    <x v="2"/>
    <x v="0"/>
    <x v="3"/>
    <x v="3"/>
    <x v="12"/>
    <x v="0"/>
  </r>
  <r>
    <s v="TX502384"/>
    <x v="10"/>
    <x v="1"/>
    <n v="43.6"/>
    <x v="640"/>
    <x v="87"/>
    <d v="2025-03-30T00:00:00"/>
    <x v="1"/>
    <x v="1"/>
    <x v="2"/>
    <x v="0"/>
    <x v="3"/>
    <x v="3"/>
    <x v="12"/>
    <x v="1"/>
  </r>
  <r>
    <s v="TX502385"/>
    <x v="15"/>
    <x v="12"/>
    <n v="78.400000000000006"/>
    <x v="1755"/>
    <x v="87"/>
    <d v="2025-03-30T00:00:00"/>
    <x v="1"/>
    <x v="2"/>
    <x v="0"/>
    <x v="0"/>
    <x v="3"/>
    <x v="3"/>
    <x v="12"/>
    <x v="1"/>
  </r>
  <r>
    <s v="TX502386"/>
    <x v="6"/>
    <x v="1"/>
    <n v="56.5"/>
    <x v="548"/>
    <x v="87"/>
    <d v="2025-04-02T00:00:00"/>
    <x v="1"/>
    <x v="1"/>
    <x v="1"/>
    <x v="0"/>
    <x v="3"/>
    <x v="5"/>
    <x v="12"/>
    <x v="1"/>
  </r>
  <r>
    <s v="TX502387"/>
    <x v="16"/>
    <x v="0"/>
    <n v="36.700000000000003"/>
    <x v="329"/>
    <x v="87"/>
    <d v="2025-03-30T00:00:00"/>
    <x v="2"/>
    <x v="0"/>
    <x v="2"/>
    <x v="0"/>
    <x v="3"/>
    <x v="3"/>
    <x v="12"/>
    <x v="2"/>
  </r>
  <r>
    <s v="TX502388"/>
    <x v="2"/>
    <x v="12"/>
    <n v="103.6"/>
    <x v="1756"/>
    <x v="87"/>
    <d v="2025-04-09T00:00:00"/>
    <x v="1"/>
    <x v="4"/>
    <x v="2"/>
    <x v="0"/>
    <x v="3"/>
    <x v="11"/>
    <x v="12"/>
    <x v="1"/>
  </r>
  <r>
    <s v="TX502389"/>
    <x v="8"/>
    <x v="13"/>
    <n v="16.2"/>
    <x v="1757"/>
    <x v="87"/>
    <d v="2025-04-02T00:00:00"/>
    <x v="1"/>
    <x v="1"/>
    <x v="2"/>
    <x v="0"/>
    <x v="6"/>
    <x v="5"/>
    <x v="12"/>
    <x v="1"/>
  </r>
  <r>
    <s v="TX502390"/>
    <x v="8"/>
    <x v="1"/>
    <n v="20.2"/>
    <x v="1400"/>
    <x v="87"/>
    <d v="2025-03-30T00:00:00"/>
    <x v="2"/>
    <x v="0"/>
    <x v="0"/>
    <x v="0"/>
    <x v="6"/>
    <x v="3"/>
    <x v="12"/>
    <x v="2"/>
  </r>
  <r>
    <s v="TX502391"/>
    <x v="11"/>
    <x v="1"/>
    <n v="26.9"/>
    <x v="1758"/>
    <x v="87"/>
    <d v="2025-03-31T00:00:00"/>
    <x v="2"/>
    <x v="2"/>
    <x v="0"/>
    <x v="0"/>
    <x v="6"/>
    <x v="1"/>
    <x v="12"/>
    <x v="2"/>
  </r>
  <r>
    <s v="TX502392"/>
    <x v="1"/>
    <x v="1"/>
    <n v="82.4"/>
    <x v="1759"/>
    <x v="87"/>
    <d v="2025-04-01T00:00:00"/>
    <x v="0"/>
    <x v="0"/>
    <x v="0"/>
    <x v="0"/>
    <x v="7"/>
    <x v="2"/>
    <x v="12"/>
    <x v="0"/>
  </r>
  <r>
    <s v="TX502393"/>
    <x v="2"/>
    <x v="1"/>
    <n v="117.8"/>
    <x v="1760"/>
    <x v="87"/>
    <d v="2025-03-31T00:00:00"/>
    <x v="1"/>
    <x v="1"/>
    <x v="2"/>
    <x v="0"/>
    <x v="8"/>
    <x v="1"/>
    <x v="12"/>
    <x v="1"/>
  </r>
  <r>
    <s v="TX502394"/>
    <x v="11"/>
    <x v="12"/>
    <n v="36.700000000000003"/>
    <x v="1761"/>
    <x v="87"/>
    <d v="2025-03-30T00:00:00"/>
    <x v="1"/>
    <x v="1"/>
    <x v="0"/>
    <x v="0"/>
    <x v="8"/>
    <x v="3"/>
    <x v="12"/>
    <x v="1"/>
  </r>
  <r>
    <s v="TX502395"/>
    <x v="17"/>
    <x v="2"/>
    <n v="46.8"/>
    <x v="1762"/>
    <x v="87"/>
    <d v="2025-03-30T00:00:00"/>
    <x v="1"/>
    <x v="4"/>
    <x v="2"/>
    <x v="0"/>
    <x v="10"/>
    <x v="3"/>
    <x v="12"/>
    <x v="1"/>
  </r>
  <r>
    <s v="TX502396"/>
    <x v="3"/>
    <x v="0"/>
    <n v="61.4"/>
    <x v="886"/>
    <x v="87"/>
    <d v="2025-03-30T00:00:00"/>
    <x v="1"/>
    <x v="1"/>
    <x v="0"/>
    <x v="0"/>
    <x v="10"/>
    <x v="3"/>
    <x v="12"/>
    <x v="1"/>
  </r>
  <r>
    <s v="TX502397"/>
    <x v="15"/>
    <x v="1"/>
    <n v="22.9"/>
    <x v="494"/>
    <x v="87"/>
    <d v="2025-03-30T00:00:00"/>
    <x v="1"/>
    <x v="0"/>
    <x v="0"/>
    <x v="0"/>
    <x v="11"/>
    <x v="3"/>
    <x v="12"/>
    <x v="1"/>
  </r>
  <r>
    <s v="TX502398"/>
    <x v="10"/>
    <x v="1"/>
    <n v="22.1"/>
    <x v="573"/>
    <x v="87"/>
    <d v="2025-03-30T00:00:00"/>
    <x v="2"/>
    <x v="4"/>
    <x v="0"/>
    <x v="0"/>
    <x v="11"/>
    <x v="3"/>
    <x v="12"/>
    <x v="2"/>
  </r>
  <r>
    <s v="TX502399"/>
    <x v="12"/>
    <x v="1"/>
    <n v="31"/>
    <x v="85"/>
    <x v="87"/>
    <d v="2025-03-31T00:00:00"/>
    <x v="2"/>
    <x v="2"/>
    <x v="0"/>
    <x v="0"/>
    <x v="18"/>
    <x v="1"/>
    <x v="12"/>
    <x v="2"/>
  </r>
  <r>
    <s v="TX502400"/>
    <x v="18"/>
    <x v="1"/>
    <n v="84.2"/>
    <x v="1763"/>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1B69EE-0525-4B74-B23A-540AB7060B07}" name="Pvt. Trend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C02789-A501-4806-BDE5-8F5E7E3C282E}" name="Pvt.Rating"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J12:P17" firstHeaderRow="1" firstDataRow="2"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items count="8">
        <item sd="0" x="0"/>
        <item sd="0" x="1"/>
        <item sd="0" x="2"/>
        <item sd="0" x="4"/>
        <item sd="0" x="3"/>
        <item n="6 to 10" sd="0" x="5"/>
        <item n="Above 10" sd="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5" format="2" series="1">
      <pivotArea type="data" outline="0" fieldPosition="0">
        <references count="1">
          <reference field="4294967294" count="1" selected="0">
            <x v="0"/>
          </reference>
        </references>
      </pivotArea>
    </chartFormat>
    <chartFormat chart="12" format="10" series="1">
      <pivotArea type="data" outline="0" fieldPosition="0">
        <references count="2">
          <reference field="4294967294" count="1" selected="0">
            <x v="0"/>
          </reference>
          <reference field="9" count="1" selected="0">
            <x v="0"/>
          </reference>
        </references>
      </pivotArea>
    </chartFormat>
    <chartFormat chart="12" format="11" series="1">
      <pivotArea type="data" outline="0" fieldPosition="0">
        <references count="2">
          <reference field="4294967294" count="1" selected="0">
            <x v="0"/>
          </reference>
          <reference field="9" count="1" selected="0">
            <x v="1"/>
          </reference>
        </references>
      </pivotArea>
    </chartFormat>
    <chartFormat chart="12" format="12" series="1">
      <pivotArea type="data" outline="0" fieldPosition="0">
        <references count="2">
          <reference field="4294967294" count="1" selected="0">
            <x v="0"/>
          </reference>
          <reference field="9" count="1" selected="0">
            <x v="2"/>
          </reference>
        </references>
      </pivotArea>
    </chartFormat>
    <chartFormat chart="12" format="13" series="1">
      <pivotArea type="data" outline="0" fieldPosition="0">
        <references count="2">
          <reference field="4294967294" count="1" selected="0">
            <x v="0"/>
          </reference>
          <reference field="9" count="1" selected="0">
            <x v="3"/>
          </reference>
        </references>
      </pivotArea>
    </chartFormat>
    <chartFormat chart="12" format="14" series="1">
      <pivotArea type="data" outline="0" fieldPosition="0">
        <references count="2">
          <reference field="4294967294" count="1" selected="0">
            <x v="0"/>
          </reference>
          <reference field="9" count="1" selected="0">
            <x v="4"/>
          </reference>
        </references>
      </pivotArea>
    </chartFormat>
    <chartFormat chart="12" format="15"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0E9DA1-C3B0-4A8B-9689-8FF251CE7CF7}" name="Pvt.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Days to Deliver" fld="12" subtotal="average" baseField="0" baseItem="3" numFmtId="2"/>
    <dataField name="Average of Rating C" fld="9" subtotal="average" baseField="0" baseItem="4" numFmtId="2"/>
  </dataFields>
  <formats count="2">
    <format dxfId="10">
      <pivotArea outline="0" collapsedLevelsAreSubtotals="1" fieldPosition="0">
        <references count="1">
          <reference field="4294967294" count="1" selected="0">
            <x v="4"/>
          </reference>
        </references>
      </pivotArea>
    </format>
    <format dxfId="9">
      <pivotArea outline="0" collapsedLevelsAreSubtotals="1" fieldPosition="0">
        <references count="1">
          <reference field="4294967294" count="1" selected="0">
            <x v="3"/>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26B16E-8574-4020-86F1-127A846EB9EC}"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43:M4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sd="0" x="0"/>
        <item sd="0" x="1"/>
        <item sd="0" x="2"/>
        <item sd="0" x="4"/>
        <item sd="0" x="3"/>
        <item n="6 to 10" sd="0" x="5"/>
        <item n="Above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2">
          <reference field="4294967294" count="1" selected="0">
            <x v="0"/>
          </reference>
          <reference field="14" count="1" selected="0">
            <x v="2"/>
          </reference>
        </references>
      </pivotArea>
    </chartFormat>
    <chartFormat chart="6" format="3" series="1">
      <pivotArea type="data" outline="0" fieldPosition="0">
        <references count="2">
          <reference field="4294967294" count="1" selected="0">
            <x v="0"/>
          </reference>
          <reference field="14" count="1" selected="0">
            <x v="3"/>
          </reference>
        </references>
      </pivotArea>
    </chartFormat>
    <chartFormat chart="9" format="8" series="1">
      <pivotArea type="data" outline="0" fieldPosition="0">
        <references count="2">
          <reference field="4294967294" count="1" selected="0">
            <x v="0"/>
          </reference>
          <reference field="14" count="1" selected="0">
            <x v="0"/>
          </reference>
        </references>
      </pivotArea>
    </chartFormat>
    <chartFormat chart="9" format="9" series="1">
      <pivotArea type="data" outline="0" fieldPosition="0">
        <references count="2">
          <reference field="4294967294" count="1" selected="0">
            <x v="0"/>
          </reference>
          <reference field="14" count="1" selected="0">
            <x v="1"/>
          </reference>
        </references>
      </pivotArea>
    </chartFormat>
    <chartFormat chart="9" format="10" series="1">
      <pivotArea type="data" outline="0" fieldPosition="0">
        <references count="2">
          <reference field="4294967294" count="1" selected="0">
            <x v="0"/>
          </reference>
          <reference field="14" count="1" selected="0">
            <x v="2"/>
          </reference>
        </references>
      </pivotArea>
    </chartFormat>
    <chartFormat chart="9" format="11" series="1">
      <pivotArea type="data" outline="0" fieldPosition="0">
        <references count="2">
          <reference field="4294967294" count="1" selected="0">
            <x v="0"/>
          </reference>
          <reference field="14"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4" count="1" selected="0">
            <x v="0"/>
          </reference>
        </references>
      </pivotArea>
    </chartFormat>
    <chartFormat chart="13" format="12">
      <pivotArea type="data" outline="0" fieldPosition="0">
        <references count="2">
          <reference field="4294967294" count="1" selected="0">
            <x v="0"/>
          </reference>
          <reference field="14" count="1" selected="0">
            <x v="1"/>
          </reference>
        </references>
      </pivotArea>
    </chartFormat>
    <chartFormat chart="13" format="13">
      <pivotArea type="data" outline="0" fieldPosition="0">
        <references count="2">
          <reference field="4294967294" count="1" selected="0">
            <x v="0"/>
          </reference>
          <reference field="14" count="1" selected="0">
            <x v="2"/>
          </reference>
        </references>
      </pivotArea>
    </chartFormat>
    <chartFormat chart="13" format="14">
      <pivotArea type="data" outline="0" fieldPosition="0">
        <references count="2">
          <reference field="4294967294" count="1" selected="0">
            <x v="0"/>
          </reference>
          <reference field="14" count="1" selected="0">
            <x v="3"/>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174D22-38FE-4390-9E0A-E542040B2AC9}" name="Pvt.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3:F6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sd="0" x="0"/>
        <item sd="0" x="1"/>
        <item sd="0" x="2"/>
        <item sd="0" x="4"/>
        <item sd="0" x="3"/>
        <item n="6 to 10" sd="0" x="5"/>
        <item n="Above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9" format="8" series="1">
      <pivotArea type="data" outline="0" fieldPosition="0">
        <references count="2">
          <reference field="4294967294" count="1" selected="0">
            <x v="0"/>
          </reference>
          <reference field="14" count="1" selected="0">
            <x v="0"/>
          </reference>
        </references>
      </pivotArea>
    </chartFormat>
    <chartFormat chart="9" format="9" series="1">
      <pivotArea type="data" outline="0" fieldPosition="0">
        <references count="2">
          <reference field="4294967294" count="1" selected="0">
            <x v="0"/>
          </reference>
          <reference field="14" count="1" selected="0">
            <x v="1"/>
          </reference>
        </references>
      </pivotArea>
    </chartFormat>
    <chartFormat chart="9" format="10" series="1">
      <pivotArea type="data" outline="0" fieldPosition="0">
        <references count="2">
          <reference field="4294967294" count="1" selected="0">
            <x v="0"/>
          </reference>
          <reference field="14" count="1" selected="0">
            <x v="2"/>
          </reference>
        </references>
      </pivotArea>
    </chartFormat>
    <chartFormat chart="9" format="11" series="1">
      <pivotArea type="data" outline="0" fieldPosition="0">
        <references count="2">
          <reference field="4294967294" count="1" selected="0">
            <x v="0"/>
          </reference>
          <reference field="14" count="1" selected="0">
            <x v="3"/>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7B318C-A0D7-46FC-B503-6D864863D426}"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B39"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sd="0" x="0"/>
        <item sd="0" x="1"/>
        <item sd="0" x="2"/>
        <item sd="0" x="4"/>
        <item sd="0" x="3"/>
        <item n="6 to 10" sd="0" x="5"/>
        <item n="Above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2E65DA-70CF-46B4-B13D-E24EE8A8260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8:J50"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sd="0" x="0"/>
        <item sd="0" x="1"/>
        <item sd="0" x="2"/>
        <item sd="0" x="4"/>
        <item sd="0" x="3"/>
        <item n="6 to 10" sd="0" x="5"/>
        <item n="Above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9" format="8" series="1">
      <pivotArea type="data" outline="0" fieldPosition="0">
        <references count="2">
          <reference field="4294967294" count="1" selected="0">
            <x v="0"/>
          </reference>
          <reference field="14" count="1" selected="0">
            <x v="0"/>
          </reference>
        </references>
      </pivotArea>
    </chartFormat>
    <chartFormat chart="9" format="9" series="1">
      <pivotArea type="data" outline="0" fieldPosition="0">
        <references count="2">
          <reference field="4294967294" count="1" selected="0">
            <x v="0"/>
          </reference>
          <reference field="14" count="1" selected="0">
            <x v="1"/>
          </reference>
        </references>
      </pivotArea>
    </chartFormat>
    <chartFormat chart="9" format="10" series="1">
      <pivotArea type="data" outline="0" fieldPosition="0">
        <references count="2">
          <reference field="4294967294" count="1" selected="0">
            <x v="0"/>
          </reference>
          <reference field="14" count="1" selected="0">
            <x v="2"/>
          </reference>
        </references>
      </pivotArea>
    </chartFormat>
    <chartFormat chart="9" format="11" series="1">
      <pivotArea type="data" outline="0" fieldPosition="0">
        <references count="2">
          <reference field="4294967294" count="1" selected="0">
            <x v="0"/>
          </reference>
          <reference field="14" count="1" selected="0">
            <x v="3"/>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7AA11B-A96A-476D-97BD-840AEE2A103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15:O20"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sd="0" x="0"/>
        <item sd="0" x="1"/>
        <item sd="0" x="2"/>
        <item sd="0" x="4"/>
        <item sd="0" x="3"/>
        <item n="6 to 10" sd="0" x="5"/>
        <item n="Above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2">
          <reference field="4294967294" count="1" selected="0">
            <x v="0"/>
          </reference>
          <reference field="14" count="1" selected="0">
            <x v="2"/>
          </reference>
        </references>
      </pivotArea>
    </chartFormat>
    <chartFormat chart="6" format="3" series="1">
      <pivotArea type="data" outline="0" fieldPosition="0">
        <references count="2">
          <reference field="4294967294" count="1" selected="0">
            <x v="0"/>
          </reference>
          <reference field="14" count="1" selected="0">
            <x v="3"/>
          </reference>
        </references>
      </pivotArea>
    </chartFormat>
    <chartFormat chart="9" format="8" series="1">
      <pivotArea type="data" outline="0" fieldPosition="0">
        <references count="2">
          <reference field="4294967294" count="1" selected="0">
            <x v="0"/>
          </reference>
          <reference field="14" count="1" selected="0">
            <x v="0"/>
          </reference>
        </references>
      </pivotArea>
    </chartFormat>
    <chartFormat chart="9" format="9" series="1">
      <pivotArea type="data" outline="0" fieldPosition="0">
        <references count="2">
          <reference field="4294967294" count="1" selected="0">
            <x v="0"/>
          </reference>
          <reference field="14" count="1" selected="0">
            <x v="1"/>
          </reference>
        </references>
      </pivotArea>
    </chartFormat>
    <chartFormat chart="9" format="10" series="1">
      <pivotArea type="data" outline="0" fieldPosition="0">
        <references count="2">
          <reference field="4294967294" count="1" selected="0">
            <x v="0"/>
          </reference>
          <reference field="14" count="1" selected="0">
            <x v="2"/>
          </reference>
        </references>
      </pivotArea>
    </chartFormat>
    <chartFormat chart="9" format="11" series="1">
      <pivotArea type="data" outline="0" fieldPosition="0">
        <references count="2">
          <reference field="4294967294" count="1" selected="0">
            <x v="0"/>
          </reference>
          <reference field="14"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4" count="1" selected="0">
            <x v="0"/>
          </reference>
        </references>
      </pivotArea>
    </chartFormat>
    <chartFormat chart="13" format="12">
      <pivotArea type="data" outline="0" fieldPosition="0">
        <references count="2">
          <reference field="4294967294" count="1" selected="0">
            <x v="0"/>
          </reference>
          <reference field="14" count="1" selected="0">
            <x v="1"/>
          </reference>
        </references>
      </pivotArea>
    </chartFormat>
    <chartFormat chart="13" format="13">
      <pivotArea type="data" outline="0" fieldPosition="0">
        <references count="2">
          <reference field="4294967294" count="1" selected="0">
            <x v="0"/>
          </reference>
          <reference field="14" count="1" selected="0">
            <x v="2"/>
          </reference>
        </references>
      </pivotArea>
    </chartFormat>
    <chartFormat chart="13" format="14">
      <pivotArea type="data" outline="0" fieldPosition="0">
        <references count="2">
          <reference field="4294967294" count="1" selected="0">
            <x v="0"/>
          </reference>
          <reference field="14" count="1" selected="0">
            <x v="3"/>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4A4645-89B0-4765-BA8A-562D1424E77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4:H25"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Days to Deliver" fld="12" subtotal="average" baseField="0" baseItem="3" numFmtId="2"/>
    <dataField name="Average of Rating C" fld="9" subtotal="average" baseField="0" baseItem="4" numFmtId="2"/>
  </dataFields>
  <formats count="2">
    <format dxfId="0">
      <pivotArea outline="0" collapsedLevelsAreSubtotals="1" fieldPosition="0">
        <references count="1">
          <reference field="4294967294" count="1" selected="0">
            <x v="4"/>
          </reference>
        </references>
      </pivotArea>
    </format>
    <format dxfId="1">
      <pivotArea outline="0" collapsedLevelsAreSubtotals="1" fieldPosition="0">
        <references count="1">
          <reference field="4294967294" count="1" selected="0">
            <x v="3"/>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286FB3-F7AC-438F-B4DE-D117ED37BA52}"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D15:J20" firstHeaderRow="1" firstDataRow="2"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items count="8">
        <item sd="0" x="0"/>
        <item sd="0" x="1"/>
        <item sd="0" x="2"/>
        <item sd="0" x="4"/>
        <item sd="0" x="3"/>
        <item n="6 to 10" sd="0" x="5"/>
        <item n="Above 10" sd="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5" format="2" series="1">
      <pivotArea type="data" outline="0" fieldPosition="0">
        <references count="1">
          <reference field="4294967294" count="1" selected="0">
            <x v="0"/>
          </reference>
        </references>
      </pivotArea>
    </chartFormat>
    <chartFormat chart="12" format="10" series="1">
      <pivotArea type="data" outline="0" fieldPosition="0">
        <references count="2">
          <reference field="4294967294" count="1" selected="0">
            <x v="0"/>
          </reference>
          <reference field="9" count="1" selected="0">
            <x v="0"/>
          </reference>
        </references>
      </pivotArea>
    </chartFormat>
    <chartFormat chart="12" format="11" series="1">
      <pivotArea type="data" outline="0" fieldPosition="0">
        <references count="2">
          <reference field="4294967294" count="1" selected="0">
            <x v="0"/>
          </reference>
          <reference field="9" count="1" selected="0">
            <x v="1"/>
          </reference>
        </references>
      </pivotArea>
    </chartFormat>
    <chartFormat chart="12" format="12" series="1">
      <pivotArea type="data" outline="0" fieldPosition="0">
        <references count="2">
          <reference field="4294967294" count="1" selected="0">
            <x v="0"/>
          </reference>
          <reference field="9" count="1" selected="0">
            <x v="2"/>
          </reference>
        </references>
      </pivotArea>
    </chartFormat>
    <chartFormat chart="12" format="13" series="1">
      <pivotArea type="data" outline="0" fieldPosition="0">
        <references count="2">
          <reference field="4294967294" count="1" selected="0">
            <x v="0"/>
          </reference>
          <reference field="9" count="1" selected="0">
            <x v="3"/>
          </reference>
        </references>
      </pivotArea>
    </chartFormat>
    <chartFormat chart="12" format="14" series="1">
      <pivotArea type="data" outline="0" fieldPosition="0">
        <references count="2">
          <reference field="4294967294" count="1" selected="0">
            <x v="0"/>
          </reference>
          <reference field="9" count="1" selected="0">
            <x v="4"/>
          </reference>
        </references>
      </pivotArea>
    </chartFormat>
    <chartFormat chart="12" format="15"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3066EF-23D1-415D-8448-632D3FDE958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O11"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sd="0" x="0"/>
        <item sd="0" x="1"/>
        <item sd="0" x="2"/>
        <item sd="0" x="4"/>
        <item sd="0" x="3"/>
        <item n="6 to 10" sd="0" x="5"/>
        <item n="Above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4318C7-5451-4C65-8F03-8DC55FAFE1A7}"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35:C49"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C1DD1F-D57B-468E-9B88-3B551A3ED70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B3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D6A9191-F4DD-44B8-B977-39F1E1A33FAB}"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CC244BA-F498-4997-8FD9-0104DCC490CD}"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B2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4F613B0-6AFF-4415-A67F-DFB7D7771C96}" name="Pvt.Map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764">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s>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4DED9DC-4FE2-49A0-8910-6C1E3E8727D1}" sourceName="Order Mode">
  <pivotTables>
    <pivotTable tabId="5" name="Pvt.Rating"/>
    <pivotTable tabId="5" name="Pvt. Summary"/>
    <pivotTable tabId="5" name="Pvt.Gender"/>
    <pivotTable tabId="5" name="Pvt.Products"/>
    <pivotTable tabId="5" name="Pvt.Qty"/>
    <pivotTable tabId="9" name="Pvt.Duration"/>
    <pivotTable tabId="11" name="Pvt.Maps"/>
    <pivotTable tabId="7" name="PivotTable6"/>
    <pivotTable tabId="7" name="PivotTable8"/>
    <pivotTable tabId="7" name="PivotTable9"/>
    <pivotTable tabId="7" name="PivotTable10"/>
    <pivotTable tabId="7" name="PivotTable11"/>
    <pivotTable tabId="7" name="PivotTable12"/>
  </pivotTables>
  <data>
    <tabular pivotCacheId="1255889230">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FEE4892-C795-4910-BB1B-443E3695ABA7}" sourceName="Gender Value">
  <pivotTables>
    <pivotTable tabId="5" name="Pvt.Rating"/>
    <pivotTable tabId="5" name="Pvt. Trends"/>
    <pivotTable tabId="5" name="Pvt.Qty"/>
    <pivotTable tabId="9" name="Pvt.Duration"/>
    <pivotTable tabId="11" name="Pvt.Maps"/>
    <pivotTable tabId="7" name="PivotTable6"/>
    <pivotTable tabId="7" name="PivotTable7"/>
    <pivotTable tabId="7" name="PivotTable8"/>
    <pivotTable tabId="7" name="PivotTable9"/>
  </pivotTables>
  <data>
    <tabular pivotCacheId="125588923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3A94E8ED-B8FF-481E-B1E5-902A0CD3E3D1}" cache="Slicer_Order_Mode" caption="Order Mode" style="SlicerStyleOther2" rowHeight="247650"/>
  <slicer name="Gender Value" xr10:uid="{13E27DDD-FAF2-4CBA-9810-A84AC1354F46}" cache="Slicer_Gender_Value" caption="Gender Value"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8"/>
    <tableColumn id="7" xr3:uid="{43BB5DBF-46E1-4185-80C0-4361F55A385C}" name="Ship Date" dataDxfId="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6">
      <calculatedColumnFormula>orders[[#This Row],[Ship Date]]-orders[[#This Row],[Order Date]]</calculatedColumnFormula>
    </tableColumn>
    <tableColumn id="12" xr3:uid="{B071C0DA-87A9-4516-B4D9-4F5B7D3FF44A}" name="Weeknum" dataDxfId="5">
      <calculatedColumnFormula>WEEKNUM(orders[[#This Row],[Order Date]])</calculatedColumnFormula>
    </tableColumn>
    <tableColumn id="13" xr3:uid="{B8EA9E28-7541-4E76-9935-C26438661A18}" name="Gender Value" dataDxfId="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0B23-39B7-4E7F-B9D0-D79C75F193B1}">
  <dimension ref="A2:Q138"/>
  <sheetViews>
    <sheetView topLeftCell="A35" zoomScale="63" zoomScaleNormal="142" workbookViewId="0">
      <selection activeCell="A43" sqref="A43:F65"/>
    </sheetView>
  </sheetViews>
  <sheetFormatPr defaultRowHeight="14.4" x14ac:dyDescent="0.3"/>
  <cols>
    <col min="1" max="1" width="14.5546875" bestFit="1" customWidth="1"/>
    <col min="2" max="2" width="15.109375" bestFit="1" customWidth="1"/>
    <col min="3" max="3" width="14.5546875" bestFit="1" customWidth="1"/>
    <col min="4" max="4" width="6.109375" bestFit="1" customWidth="1"/>
    <col min="5" max="5" width="18.44140625" bestFit="1" customWidth="1"/>
    <col min="6" max="6" width="11" bestFit="1" customWidth="1"/>
    <col min="7" max="7" width="15.6640625" bestFit="1" customWidth="1"/>
    <col min="8" max="8" width="13.109375" bestFit="1" customWidth="1"/>
    <col min="9" max="9" width="26.33203125" bestFit="1" customWidth="1"/>
    <col min="10" max="10" width="16.77734375" customWidth="1"/>
    <col min="11" max="11" width="15.5546875" bestFit="1" customWidth="1"/>
    <col min="12" max="12" width="14.5546875" bestFit="1" customWidth="1"/>
    <col min="13" max="13" width="15.109375" bestFit="1" customWidth="1"/>
    <col min="14" max="14" width="16.21875" customWidth="1"/>
    <col min="15" max="15" width="5.5546875" bestFit="1" customWidth="1"/>
    <col min="16" max="16" width="10.6640625" bestFit="1" customWidth="1"/>
    <col min="17" max="41" width="9" bestFit="1" customWidth="1"/>
    <col min="42" max="98" width="9.44140625" bestFit="1" customWidth="1"/>
    <col min="99" max="99" width="10.5546875" bestFit="1" customWidth="1"/>
  </cols>
  <sheetData>
    <row r="2" spans="1:16" x14ac:dyDescent="0.3">
      <c r="G2" t="s">
        <v>2557</v>
      </c>
    </row>
    <row r="3" spans="1:16" x14ac:dyDescent="0.3">
      <c r="A3" t="s">
        <v>2552</v>
      </c>
      <c r="B3" t="s">
        <v>2553</v>
      </c>
      <c r="C3" t="s">
        <v>2554</v>
      </c>
      <c r="D3" t="s">
        <v>2555</v>
      </c>
      <c r="E3" t="s">
        <v>2556</v>
      </c>
      <c r="G3" t="s">
        <v>2538</v>
      </c>
      <c r="H3" t="s">
        <v>2558</v>
      </c>
      <c r="I3" t="s">
        <v>4</v>
      </c>
      <c r="J3" t="s">
        <v>2507</v>
      </c>
      <c r="K3" t="s">
        <v>2559</v>
      </c>
    </row>
    <row r="4" spans="1:16" x14ac:dyDescent="0.3">
      <c r="A4">
        <v>2400</v>
      </c>
      <c r="B4">
        <v>11997</v>
      </c>
      <c r="C4">
        <v>649019.80000000144</v>
      </c>
      <c r="D4" s="12">
        <v>2.3424999999999998</v>
      </c>
      <c r="E4" s="12">
        <v>3.9620833333333332</v>
      </c>
      <c r="G4" t="str">
        <f>TEXT(A4,"#,##")</f>
        <v>2,400</v>
      </c>
      <c r="H4" t="str">
        <f t="shared" ref="H4" si="0">TEXT(B4,"#,##")</f>
        <v>11,997</v>
      </c>
      <c r="I4" t="str">
        <f>TEXT(C4,"$#,##,.0k")</f>
        <v>$649.0k</v>
      </c>
      <c r="J4" t="str">
        <f>TEXT(D4,"0.0")</f>
        <v>2.3</v>
      </c>
      <c r="K4" t="str">
        <f>TEXT(E4,"0.0")</f>
        <v>4.0</v>
      </c>
    </row>
    <row r="7" spans="1:16" x14ac:dyDescent="0.3">
      <c r="A7" s="13" t="s">
        <v>2560</v>
      </c>
    </row>
    <row r="9" spans="1:16" x14ac:dyDescent="0.3">
      <c r="A9" s="14" t="s">
        <v>2561</v>
      </c>
      <c r="B9" t="s">
        <v>2553</v>
      </c>
      <c r="C9" t="s">
        <v>2554</v>
      </c>
    </row>
    <row r="10" spans="1:16" x14ac:dyDescent="0.3">
      <c r="A10" s="15">
        <v>1</v>
      </c>
      <c r="B10">
        <v>546</v>
      </c>
      <c r="C10" s="16">
        <v>32413.300000000003</v>
      </c>
      <c r="J10" s="13" t="s">
        <v>2572</v>
      </c>
    </row>
    <row r="11" spans="1:16" x14ac:dyDescent="0.3">
      <c r="A11" s="15">
        <v>2</v>
      </c>
      <c r="B11">
        <v>905</v>
      </c>
      <c r="C11" s="16">
        <v>49562.999999999993</v>
      </c>
    </row>
    <row r="12" spans="1:16" x14ac:dyDescent="0.3">
      <c r="A12" s="15">
        <v>3</v>
      </c>
      <c r="B12">
        <v>796</v>
      </c>
      <c r="C12" s="16">
        <v>41700.400000000016</v>
      </c>
      <c r="J12" s="14" t="s">
        <v>2552</v>
      </c>
      <c r="K12" s="14" t="s">
        <v>2563</v>
      </c>
    </row>
    <row r="13" spans="1:16" x14ac:dyDescent="0.3">
      <c r="A13" s="15">
        <v>4</v>
      </c>
      <c r="B13">
        <v>913</v>
      </c>
      <c r="C13" s="16">
        <v>46782.599999999984</v>
      </c>
      <c r="J13" s="14" t="s">
        <v>2561</v>
      </c>
      <c r="K13">
        <v>1</v>
      </c>
      <c r="L13">
        <v>2</v>
      </c>
      <c r="M13">
        <v>3</v>
      </c>
      <c r="N13">
        <v>4</v>
      </c>
      <c r="O13">
        <v>5</v>
      </c>
      <c r="P13" t="s">
        <v>2562</v>
      </c>
    </row>
    <row r="14" spans="1:16" x14ac:dyDescent="0.3">
      <c r="A14" s="15">
        <v>5</v>
      </c>
      <c r="B14">
        <v>844</v>
      </c>
      <c r="C14" s="16">
        <v>42676.100000000006</v>
      </c>
      <c r="J14" s="15" t="s">
        <v>2573</v>
      </c>
      <c r="K14">
        <v>7</v>
      </c>
      <c r="L14">
        <v>37</v>
      </c>
      <c r="M14">
        <v>150</v>
      </c>
      <c r="N14">
        <v>312</v>
      </c>
      <c r="O14">
        <v>224</v>
      </c>
      <c r="P14">
        <v>730</v>
      </c>
    </row>
    <row r="15" spans="1:16" x14ac:dyDescent="0.3">
      <c r="A15" s="15">
        <v>6</v>
      </c>
      <c r="B15">
        <v>1202</v>
      </c>
      <c r="C15" s="16">
        <v>62910.7</v>
      </c>
      <c r="J15" s="15" t="s">
        <v>2574</v>
      </c>
      <c r="K15">
        <v>8</v>
      </c>
      <c r="L15">
        <v>51</v>
      </c>
      <c r="M15">
        <v>182</v>
      </c>
      <c r="N15">
        <v>373</v>
      </c>
      <c r="O15">
        <v>247</v>
      </c>
      <c r="P15">
        <v>861</v>
      </c>
    </row>
    <row r="16" spans="1:16" x14ac:dyDescent="0.3">
      <c r="A16" s="15">
        <v>7</v>
      </c>
      <c r="B16">
        <v>935</v>
      </c>
      <c r="C16" s="16">
        <v>50332.200000000004</v>
      </c>
      <c r="J16" s="15" t="s">
        <v>2575</v>
      </c>
      <c r="K16">
        <v>6</v>
      </c>
      <c r="L16">
        <v>39</v>
      </c>
      <c r="M16">
        <v>163</v>
      </c>
      <c r="N16">
        <v>351</v>
      </c>
      <c r="O16">
        <v>250</v>
      </c>
      <c r="P16">
        <v>809</v>
      </c>
    </row>
    <row r="17" spans="1:16" x14ac:dyDescent="0.3">
      <c r="A17" s="15">
        <v>8</v>
      </c>
      <c r="B17">
        <v>1128</v>
      </c>
      <c r="C17" s="16">
        <v>58760.599999999977</v>
      </c>
      <c r="J17" s="15" t="s">
        <v>2562</v>
      </c>
      <c r="K17">
        <v>21</v>
      </c>
      <c r="L17">
        <v>127</v>
      </c>
      <c r="M17">
        <v>495</v>
      </c>
      <c r="N17">
        <v>1036</v>
      </c>
      <c r="O17">
        <v>721</v>
      </c>
      <c r="P17">
        <v>2400</v>
      </c>
    </row>
    <row r="18" spans="1:16" x14ac:dyDescent="0.3">
      <c r="A18" s="15">
        <v>9</v>
      </c>
      <c r="B18">
        <v>1007</v>
      </c>
      <c r="C18" s="16">
        <v>52017.299999999996</v>
      </c>
    </row>
    <row r="19" spans="1:16" x14ac:dyDescent="0.3">
      <c r="A19" s="15">
        <v>10</v>
      </c>
      <c r="B19">
        <v>1128</v>
      </c>
      <c r="C19" s="16">
        <v>64915.700000000033</v>
      </c>
    </row>
    <row r="20" spans="1:16" x14ac:dyDescent="0.3">
      <c r="A20" s="15">
        <v>11</v>
      </c>
      <c r="B20">
        <v>861</v>
      </c>
      <c r="C20" s="16">
        <v>45943.80000000001</v>
      </c>
    </row>
    <row r="21" spans="1:16" x14ac:dyDescent="0.3">
      <c r="A21" s="15">
        <v>12</v>
      </c>
      <c r="B21">
        <v>944</v>
      </c>
      <c r="C21" s="16">
        <v>55077.900000000031</v>
      </c>
    </row>
    <row r="22" spans="1:16" x14ac:dyDescent="0.3">
      <c r="A22" s="15">
        <v>13</v>
      </c>
      <c r="B22">
        <v>788</v>
      </c>
      <c r="C22" s="16">
        <v>45926.19999999999</v>
      </c>
    </row>
    <row r="23" spans="1:16" x14ac:dyDescent="0.3">
      <c r="A23" s="15" t="s">
        <v>2562</v>
      </c>
      <c r="B23">
        <v>11997</v>
      </c>
      <c r="C23" s="16">
        <v>649019.79999999993</v>
      </c>
    </row>
    <row r="31" spans="1:16" x14ac:dyDescent="0.3">
      <c r="A31" s="14" t="s">
        <v>2561</v>
      </c>
      <c r="B31" t="s">
        <v>2552</v>
      </c>
    </row>
    <row r="32" spans="1:16" x14ac:dyDescent="0.3">
      <c r="A32" s="15">
        <v>1</v>
      </c>
      <c r="B32">
        <v>397</v>
      </c>
    </row>
    <row r="33" spans="1:13" x14ac:dyDescent="0.3">
      <c r="A33" s="15">
        <v>2</v>
      </c>
      <c r="B33">
        <v>540</v>
      </c>
    </row>
    <row r="34" spans="1:13" x14ac:dyDescent="0.3">
      <c r="A34" s="15">
        <v>3</v>
      </c>
      <c r="B34">
        <v>375</v>
      </c>
    </row>
    <row r="35" spans="1:13" x14ac:dyDescent="0.3">
      <c r="A35" s="15">
        <v>4</v>
      </c>
      <c r="B35">
        <v>246</v>
      </c>
    </row>
    <row r="36" spans="1:13" x14ac:dyDescent="0.3">
      <c r="A36" s="15">
        <v>5</v>
      </c>
      <c r="B36">
        <v>195</v>
      </c>
    </row>
    <row r="37" spans="1:13" x14ac:dyDescent="0.3">
      <c r="A37" s="15" t="s">
        <v>2569</v>
      </c>
      <c r="B37">
        <v>414</v>
      </c>
    </row>
    <row r="38" spans="1:13" x14ac:dyDescent="0.3">
      <c r="A38" s="15" t="s">
        <v>2570</v>
      </c>
      <c r="B38">
        <v>233</v>
      </c>
    </row>
    <row r="39" spans="1:13" x14ac:dyDescent="0.3">
      <c r="A39" s="15" t="s">
        <v>2562</v>
      </c>
      <c r="B39">
        <v>2400</v>
      </c>
    </row>
    <row r="43" spans="1:13" x14ac:dyDescent="0.3">
      <c r="A43" s="14" t="s">
        <v>2553</v>
      </c>
      <c r="B43" s="14" t="s">
        <v>2563</v>
      </c>
      <c r="L43" s="14" t="s">
        <v>2561</v>
      </c>
      <c r="M43" t="s">
        <v>2553</v>
      </c>
    </row>
    <row r="44" spans="1:13" x14ac:dyDescent="0.3">
      <c r="A44" s="14" t="s">
        <v>2561</v>
      </c>
      <c r="B44" t="s">
        <v>2564</v>
      </c>
      <c r="C44" t="s">
        <v>2565</v>
      </c>
      <c r="D44" t="s">
        <v>2566</v>
      </c>
      <c r="E44" t="s">
        <v>2567</v>
      </c>
      <c r="F44" t="s">
        <v>2562</v>
      </c>
      <c r="L44" s="15" t="s">
        <v>2564</v>
      </c>
      <c r="M44">
        <v>6272</v>
      </c>
    </row>
    <row r="45" spans="1:13" x14ac:dyDescent="0.3">
      <c r="A45" s="15" t="s">
        <v>44</v>
      </c>
      <c r="B45">
        <v>744</v>
      </c>
      <c r="C45">
        <v>713</v>
      </c>
      <c r="D45">
        <v>90</v>
      </c>
      <c r="E45">
        <v>98</v>
      </c>
      <c r="F45">
        <v>1645</v>
      </c>
      <c r="L45" s="15" t="s">
        <v>2565</v>
      </c>
      <c r="M45">
        <v>4672</v>
      </c>
    </row>
    <row r="46" spans="1:13" x14ac:dyDescent="0.3">
      <c r="A46" s="15" t="s">
        <v>39</v>
      </c>
      <c r="B46">
        <v>716</v>
      </c>
      <c r="C46">
        <v>598</v>
      </c>
      <c r="D46">
        <v>18</v>
      </c>
      <c r="E46">
        <v>214</v>
      </c>
      <c r="F46">
        <v>1546</v>
      </c>
      <c r="L46" s="15" t="s">
        <v>2566</v>
      </c>
      <c r="M46">
        <v>317</v>
      </c>
    </row>
    <row r="47" spans="1:13" x14ac:dyDescent="0.3">
      <c r="A47" s="15" t="s">
        <v>26</v>
      </c>
      <c r="B47">
        <v>627</v>
      </c>
      <c r="C47">
        <v>393</v>
      </c>
      <c r="D47">
        <v>29</v>
      </c>
      <c r="E47">
        <v>137</v>
      </c>
      <c r="F47">
        <v>1186</v>
      </c>
      <c r="L47" s="15" t="s">
        <v>2567</v>
      </c>
      <c r="M47">
        <v>736</v>
      </c>
    </row>
    <row r="48" spans="1:13" x14ac:dyDescent="0.3">
      <c r="A48" s="15" t="s">
        <v>22</v>
      </c>
      <c r="B48">
        <v>568</v>
      </c>
      <c r="C48">
        <v>306</v>
      </c>
      <c r="D48">
        <v>22</v>
      </c>
      <c r="E48">
        <v>16</v>
      </c>
      <c r="F48">
        <v>912</v>
      </c>
      <c r="L48" s="15" t="s">
        <v>2562</v>
      </c>
      <c r="M48">
        <v>11997</v>
      </c>
    </row>
    <row r="49" spans="1:6" x14ac:dyDescent="0.3">
      <c r="A49" s="15" t="s">
        <v>54</v>
      </c>
      <c r="B49">
        <v>482</v>
      </c>
      <c r="C49">
        <v>295</v>
      </c>
      <c r="D49">
        <v>8</v>
      </c>
      <c r="E49">
        <v>22</v>
      </c>
      <c r="F49">
        <v>807</v>
      </c>
    </row>
    <row r="50" spans="1:6" x14ac:dyDescent="0.3">
      <c r="A50" s="15" t="s">
        <v>16</v>
      </c>
      <c r="B50">
        <v>428</v>
      </c>
      <c r="C50">
        <v>293</v>
      </c>
      <c r="E50">
        <v>24</v>
      </c>
      <c r="F50">
        <v>745</v>
      </c>
    </row>
    <row r="51" spans="1:6" x14ac:dyDescent="0.3">
      <c r="A51" s="15" t="s">
        <v>46</v>
      </c>
      <c r="B51">
        <v>445</v>
      </c>
      <c r="C51">
        <v>202</v>
      </c>
      <c r="D51">
        <v>14</v>
      </c>
      <c r="E51">
        <v>39</v>
      </c>
      <c r="F51">
        <v>700</v>
      </c>
    </row>
    <row r="52" spans="1:6" x14ac:dyDescent="0.3">
      <c r="A52" s="15" t="s">
        <v>32</v>
      </c>
      <c r="B52">
        <v>431</v>
      </c>
      <c r="C52">
        <v>187</v>
      </c>
      <c r="D52">
        <v>14</v>
      </c>
      <c r="E52">
        <v>15</v>
      </c>
      <c r="F52">
        <v>647</v>
      </c>
    </row>
    <row r="53" spans="1:6" x14ac:dyDescent="0.3">
      <c r="A53" s="15" t="s">
        <v>42</v>
      </c>
      <c r="B53">
        <v>264</v>
      </c>
      <c r="C53">
        <v>318</v>
      </c>
      <c r="D53">
        <v>15</v>
      </c>
      <c r="E53">
        <v>9</v>
      </c>
      <c r="F53">
        <v>606</v>
      </c>
    </row>
    <row r="54" spans="1:6" x14ac:dyDescent="0.3">
      <c r="A54" s="15" t="s">
        <v>37</v>
      </c>
      <c r="B54">
        <v>296</v>
      </c>
      <c r="C54">
        <v>275</v>
      </c>
      <c r="D54">
        <v>9</v>
      </c>
      <c r="E54">
        <v>23</v>
      </c>
      <c r="F54">
        <v>603</v>
      </c>
    </row>
    <row r="55" spans="1:6" x14ac:dyDescent="0.3">
      <c r="A55" s="15" t="s">
        <v>123</v>
      </c>
      <c r="B55">
        <v>153</v>
      </c>
      <c r="C55">
        <v>246</v>
      </c>
      <c r="D55">
        <v>30</v>
      </c>
      <c r="E55">
        <v>8</v>
      </c>
      <c r="F55">
        <v>437</v>
      </c>
    </row>
    <row r="56" spans="1:6" x14ac:dyDescent="0.3">
      <c r="A56" s="15" t="s">
        <v>146</v>
      </c>
      <c r="B56">
        <v>189</v>
      </c>
      <c r="C56">
        <v>168</v>
      </c>
      <c r="D56">
        <v>10</v>
      </c>
      <c r="E56">
        <v>31</v>
      </c>
      <c r="F56">
        <v>398</v>
      </c>
    </row>
    <row r="57" spans="1:6" x14ac:dyDescent="0.3">
      <c r="A57" s="15" t="s">
        <v>69</v>
      </c>
      <c r="B57">
        <v>234</v>
      </c>
      <c r="C57">
        <v>93</v>
      </c>
      <c r="D57">
        <v>19</v>
      </c>
      <c r="E57">
        <v>24</v>
      </c>
      <c r="F57">
        <v>370</v>
      </c>
    </row>
    <row r="58" spans="1:6" x14ac:dyDescent="0.3">
      <c r="A58" s="15" t="s">
        <v>30</v>
      </c>
      <c r="B58">
        <v>146</v>
      </c>
      <c r="C58">
        <v>94</v>
      </c>
      <c r="D58">
        <v>4</v>
      </c>
      <c r="E58">
        <v>28</v>
      </c>
      <c r="F58">
        <v>272</v>
      </c>
    </row>
    <row r="59" spans="1:6" x14ac:dyDescent="0.3">
      <c r="A59" s="15" t="s">
        <v>135</v>
      </c>
      <c r="B59">
        <v>127</v>
      </c>
      <c r="C59">
        <v>118</v>
      </c>
      <c r="D59">
        <v>13</v>
      </c>
      <c r="E59">
        <v>12</v>
      </c>
      <c r="F59">
        <v>270</v>
      </c>
    </row>
    <row r="60" spans="1:6" x14ac:dyDescent="0.3">
      <c r="A60" s="15" t="s">
        <v>67</v>
      </c>
      <c r="B60">
        <v>179</v>
      </c>
      <c r="C60">
        <v>76</v>
      </c>
      <c r="D60">
        <v>3</v>
      </c>
      <c r="F60">
        <v>258</v>
      </c>
    </row>
    <row r="61" spans="1:6" x14ac:dyDescent="0.3">
      <c r="A61" s="15" t="s">
        <v>128</v>
      </c>
      <c r="B61">
        <v>99</v>
      </c>
      <c r="C61">
        <v>69</v>
      </c>
      <c r="D61">
        <v>3</v>
      </c>
      <c r="E61">
        <v>24</v>
      </c>
      <c r="F61">
        <v>195</v>
      </c>
    </row>
    <row r="62" spans="1:6" x14ac:dyDescent="0.3">
      <c r="A62" s="15" t="s">
        <v>76</v>
      </c>
      <c r="B62">
        <v>75</v>
      </c>
      <c r="C62">
        <v>103</v>
      </c>
      <c r="D62">
        <v>4</v>
      </c>
      <c r="E62">
        <v>6</v>
      </c>
      <c r="F62">
        <v>188</v>
      </c>
    </row>
    <row r="63" spans="1:6" x14ac:dyDescent="0.3">
      <c r="A63" s="15" t="s">
        <v>81</v>
      </c>
      <c r="B63">
        <v>43</v>
      </c>
      <c r="C63">
        <v>90</v>
      </c>
      <c r="D63">
        <v>8</v>
      </c>
      <c r="E63">
        <v>6</v>
      </c>
      <c r="F63">
        <v>147</v>
      </c>
    </row>
    <row r="64" spans="1:6" x14ac:dyDescent="0.3">
      <c r="A64" s="15" t="s">
        <v>171</v>
      </c>
      <c r="B64">
        <v>26</v>
      </c>
      <c r="C64">
        <v>35</v>
      </c>
      <c r="D64">
        <v>4</v>
      </c>
      <c r="F64">
        <v>65</v>
      </c>
    </row>
    <row r="65" spans="1:17" x14ac:dyDescent="0.3">
      <c r="A65" s="15" t="s">
        <v>2562</v>
      </c>
      <c r="B65">
        <v>6272</v>
      </c>
      <c r="C65">
        <v>4672</v>
      </c>
      <c r="D65">
        <v>317</v>
      </c>
      <c r="E65">
        <v>736</v>
      </c>
      <c r="F65">
        <v>11997</v>
      </c>
    </row>
    <row r="79" spans="1:17" x14ac:dyDescent="0.3">
      <c r="H79" s="21"/>
      <c r="I79" s="21"/>
      <c r="J79" s="21"/>
      <c r="K79" s="22"/>
      <c r="L79" s="23"/>
      <c r="M79" s="17"/>
      <c r="N79" s="17"/>
      <c r="O79" s="17"/>
      <c r="P79" s="17"/>
      <c r="Q79" s="17"/>
    </row>
    <row r="80" spans="1:17" x14ac:dyDescent="0.3">
      <c r="H80" s="13"/>
      <c r="I80" s="13"/>
      <c r="J80" s="13"/>
      <c r="L80" s="13"/>
      <c r="M80" s="13"/>
      <c r="N80" s="16"/>
      <c r="O80" s="13"/>
      <c r="Q80" s="16"/>
    </row>
    <row r="81" spans="8:17" x14ac:dyDescent="0.3">
      <c r="H81" s="13"/>
      <c r="L81" s="13"/>
      <c r="M81" s="13"/>
      <c r="N81" s="16"/>
      <c r="O81" s="13"/>
      <c r="Q81" s="16"/>
    </row>
    <row r="82" spans="8:17" x14ac:dyDescent="0.3">
      <c r="H82" s="13"/>
      <c r="L82" s="13"/>
      <c r="M82" s="13"/>
      <c r="N82" s="16"/>
      <c r="O82" s="13"/>
      <c r="Q82" s="16"/>
    </row>
    <row r="83" spans="8:17" x14ac:dyDescent="0.3">
      <c r="H83" s="13"/>
      <c r="L83" s="13"/>
      <c r="M83" s="13"/>
      <c r="N83" s="16"/>
      <c r="O83" s="13"/>
      <c r="Q83" s="16"/>
    </row>
    <row r="84" spans="8:17" x14ac:dyDescent="0.3">
      <c r="H84" s="13"/>
      <c r="L84" s="13"/>
      <c r="M84" s="13"/>
      <c r="N84" s="16"/>
      <c r="O84" s="13"/>
      <c r="Q84" s="16"/>
    </row>
    <row r="85" spans="8:17" x14ac:dyDescent="0.3">
      <c r="H85" s="13"/>
      <c r="L85" s="13"/>
      <c r="M85" s="13"/>
      <c r="N85" s="16"/>
      <c r="O85" s="13"/>
      <c r="Q85" s="16"/>
    </row>
    <row r="86" spans="8:17" x14ac:dyDescent="0.3">
      <c r="H86" s="13"/>
      <c r="L86" s="13"/>
      <c r="M86" s="13"/>
      <c r="N86" s="16"/>
      <c r="O86" s="13"/>
      <c r="Q86" s="16"/>
    </row>
    <row r="87" spans="8:17" x14ac:dyDescent="0.3">
      <c r="H87" s="13"/>
      <c r="L87" s="13"/>
      <c r="M87" s="13"/>
      <c r="N87" s="16"/>
      <c r="O87" s="13"/>
      <c r="Q87" s="16"/>
    </row>
    <row r="88" spans="8:17" x14ac:dyDescent="0.3">
      <c r="H88" s="13"/>
      <c r="L88" s="13"/>
      <c r="M88" s="13"/>
      <c r="N88" s="16"/>
      <c r="O88" s="13"/>
      <c r="Q88" s="16"/>
    </row>
    <row r="89" spans="8:17" x14ac:dyDescent="0.3">
      <c r="H89" s="13"/>
      <c r="L89" s="13"/>
      <c r="M89" s="13"/>
      <c r="N89" s="16"/>
      <c r="O89" s="13"/>
      <c r="Q89" s="16"/>
    </row>
    <row r="90" spans="8:17" x14ac:dyDescent="0.3">
      <c r="H90" s="13"/>
      <c r="L90" s="13"/>
      <c r="M90" s="13"/>
      <c r="N90" s="16"/>
      <c r="O90" s="13"/>
      <c r="Q90" s="16"/>
    </row>
    <row r="91" spans="8:17" x14ac:dyDescent="0.3">
      <c r="H91" s="13"/>
      <c r="L91" s="13"/>
      <c r="M91" s="13"/>
      <c r="N91" s="16"/>
      <c r="O91" s="13"/>
      <c r="Q91" s="16"/>
    </row>
    <row r="92" spans="8:17" x14ac:dyDescent="0.3">
      <c r="H92" s="13"/>
      <c r="L92" s="13"/>
      <c r="M92" s="13"/>
      <c r="N92" s="16"/>
      <c r="O92" s="13"/>
      <c r="Q92" s="16"/>
    </row>
    <row r="93" spans="8:17" x14ac:dyDescent="0.3">
      <c r="H93" s="13"/>
      <c r="L93" s="13"/>
      <c r="M93" s="13"/>
      <c r="N93" s="16"/>
      <c r="O93" s="13"/>
      <c r="Q93" s="16"/>
    </row>
    <row r="94" spans="8:17" x14ac:dyDescent="0.3">
      <c r="H94" s="13"/>
      <c r="L94" s="13"/>
      <c r="M94" s="13"/>
      <c r="N94" s="16"/>
      <c r="O94" s="13"/>
      <c r="Q94" s="16"/>
    </row>
    <row r="95" spans="8:17" x14ac:dyDescent="0.3">
      <c r="H95" s="13"/>
      <c r="L95" s="13"/>
      <c r="M95" s="13"/>
      <c r="N95" s="16"/>
      <c r="O95" s="13"/>
      <c r="Q95" s="16"/>
    </row>
    <row r="96" spans="8:17" x14ac:dyDescent="0.3">
      <c r="H96" s="13"/>
      <c r="L96" s="13"/>
      <c r="M96" s="13"/>
      <c r="N96" s="16"/>
      <c r="O96" s="13"/>
      <c r="Q96" s="16"/>
    </row>
    <row r="97" spans="8:17" x14ac:dyDescent="0.3">
      <c r="H97" s="13"/>
      <c r="L97" s="13"/>
      <c r="M97" s="13"/>
      <c r="N97" s="16"/>
      <c r="O97" s="13"/>
      <c r="Q97" s="16"/>
    </row>
    <row r="98" spans="8:17" x14ac:dyDescent="0.3">
      <c r="H98" s="13"/>
      <c r="L98" s="13"/>
      <c r="M98" s="13"/>
      <c r="N98" s="16"/>
      <c r="O98" s="13"/>
      <c r="Q98" s="16"/>
    </row>
    <row r="99" spans="8:17" x14ac:dyDescent="0.3">
      <c r="H99" s="13"/>
      <c r="L99" s="13"/>
      <c r="M99" s="13"/>
      <c r="N99" s="16"/>
      <c r="O99" s="13"/>
      <c r="Q99" s="16"/>
    </row>
    <row r="100" spans="8:17" x14ac:dyDescent="0.3">
      <c r="H100" s="13"/>
      <c r="L100" s="13"/>
      <c r="M100" s="13"/>
      <c r="N100" s="16"/>
      <c r="O100" s="13"/>
      <c r="Q100" s="16"/>
    </row>
    <row r="101" spans="8:17" x14ac:dyDescent="0.3">
      <c r="H101" s="13"/>
      <c r="L101" s="13"/>
      <c r="M101" s="13"/>
      <c r="N101" s="16"/>
      <c r="O101" s="13"/>
      <c r="Q101" s="16"/>
    </row>
    <row r="102" spans="8:17" x14ac:dyDescent="0.3">
      <c r="H102" s="13"/>
      <c r="L102" s="13"/>
      <c r="M102" s="13"/>
      <c r="N102" s="16"/>
      <c r="O102" s="13"/>
      <c r="Q102" s="16"/>
    </row>
    <row r="103" spans="8:17" x14ac:dyDescent="0.3">
      <c r="H103" s="13"/>
      <c r="L103" s="13"/>
      <c r="M103" s="13"/>
      <c r="N103" s="16"/>
      <c r="O103" s="13"/>
      <c r="Q103" s="16"/>
    </row>
    <row r="104" spans="8:17" x14ac:dyDescent="0.3">
      <c r="H104" s="13"/>
      <c r="L104" s="13"/>
      <c r="M104" s="13"/>
      <c r="N104" s="16"/>
      <c r="O104" s="13"/>
      <c r="Q104" s="16"/>
    </row>
    <row r="105" spans="8:17" x14ac:dyDescent="0.3">
      <c r="H105" s="13"/>
      <c r="L105" s="13"/>
      <c r="M105" s="13"/>
      <c r="N105" s="16"/>
      <c r="O105" s="13"/>
      <c r="Q105" s="16"/>
    </row>
    <row r="106" spans="8:17" x14ac:dyDescent="0.3">
      <c r="H106" s="13"/>
      <c r="L106" s="13"/>
      <c r="M106" s="13"/>
      <c r="N106" s="16"/>
      <c r="O106" s="13"/>
      <c r="Q106" s="16"/>
    </row>
    <row r="107" spans="8:17" x14ac:dyDescent="0.3">
      <c r="H107" s="13"/>
      <c r="L107" s="13"/>
      <c r="M107" s="13"/>
      <c r="N107" s="16"/>
      <c r="O107" s="13"/>
      <c r="Q107" s="16"/>
    </row>
    <row r="108" spans="8:17" x14ac:dyDescent="0.3">
      <c r="H108" s="13"/>
      <c r="L108" s="13"/>
      <c r="M108" s="13"/>
      <c r="N108" s="16"/>
      <c r="O108" s="13"/>
      <c r="Q108" s="16"/>
    </row>
    <row r="109" spans="8:17" x14ac:dyDescent="0.3">
      <c r="H109" s="13"/>
      <c r="L109" s="13"/>
      <c r="M109" s="13"/>
      <c r="N109" s="16"/>
      <c r="O109" s="13"/>
      <c r="Q109" s="16"/>
    </row>
    <row r="110" spans="8:17" x14ac:dyDescent="0.3">
      <c r="H110" s="13"/>
      <c r="L110" s="13"/>
      <c r="M110" s="13"/>
      <c r="N110" s="16"/>
      <c r="O110" s="13"/>
      <c r="Q110" s="16"/>
    </row>
    <row r="111" spans="8:17" x14ac:dyDescent="0.3">
      <c r="H111" s="13"/>
      <c r="L111" s="13"/>
      <c r="M111" s="13"/>
      <c r="N111" s="16"/>
      <c r="O111" s="13"/>
      <c r="Q111" s="16"/>
    </row>
    <row r="112" spans="8:17" x14ac:dyDescent="0.3">
      <c r="H112" s="13"/>
      <c r="L112" s="13"/>
      <c r="M112" s="13"/>
      <c r="N112" s="16"/>
      <c r="O112" s="13"/>
      <c r="Q112" s="16"/>
    </row>
    <row r="113" spans="8:17" x14ac:dyDescent="0.3">
      <c r="H113" s="13"/>
      <c r="L113" s="13"/>
      <c r="M113" s="13"/>
      <c r="N113" s="16"/>
      <c r="O113" s="13"/>
      <c r="Q113" s="16"/>
    </row>
    <row r="114" spans="8:17" x14ac:dyDescent="0.3">
      <c r="H114" s="13"/>
      <c r="L114" s="13"/>
      <c r="M114" s="13"/>
      <c r="N114" s="16"/>
      <c r="O114" s="13"/>
      <c r="Q114" s="16"/>
    </row>
    <row r="115" spans="8:17" x14ac:dyDescent="0.3">
      <c r="H115" s="13"/>
      <c r="L115" s="13"/>
      <c r="M115" s="13"/>
      <c r="N115" s="16"/>
      <c r="O115" s="13"/>
      <c r="Q115" s="16"/>
    </row>
    <row r="116" spans="8:17" x14ac:dyDescent="0.3">
      <c r="H116" s="13"/>
      <c r="L116" s="13"/>
      <c r="M116" s="13"/>
      <c r="N116" s="16"/>
      <c r="O116" s="13"/>
      <c r="Q116" s="16"/>
    </row>
    <row r="117" spans="8:17" x14ac:dyDescent="0.3">
      <c r="H117" s="13"/>
      <c r="L117" s="13"/>
      <c r="M117" s="13"/>
      <c r="N117" s="16"/>
      <c r="O117" s="13"/>
      <c r="Q117" s="16"/>
    </row>
    <row r="118" spans="8:17" x14ac:dyDescent="0.3">
      <c r="H118" s="13"/>
      <c r="L118" s="13"/>
      <c r="M118" s="13"/>
      <c r="N118" s="16"/>
      <c r="O118" s="13"/>
      <c r="Q118" s="16"/>
    </row>
    <row r="119" spans="8:17" x14ac:dyDescent="0.3">
      <c r="H119" s="13"/>
      <c r="L119" s="13"/>
      <c r="M119" s="13"/>
      <c r="N119" s="16"/>
      <c r="O119" s="13"/>
      <c r="Q119" s="16"/>
    </row>
    <row r="120" spans="8:17" x14ac:dyDescent="0.3">
      <c r="H120" s="13"/>
      <c r="L120" s="13"/>
      <c r="M120" s="13"/>
      <c r="N120" s="16"/>
      <c r="O120" s="13"/>
      <c r="Q120" s="16"/>
    </row>
    <row r="121" spans="8:17" x14ac:dyDescent="0.3">
      <c r="H121" s="13"/>
      <c r="L121" s="13"/>
      <c r="M121" s="13"/>
      <c r="N121" s="16"/>
      <c r="O121" s="13"/>
      <c r="Q121" s="16"/>
    </row>
    <row r="122" spans="8:17" x14ac:dyDescent="0.3">
      <c r="H122" s="13"/>
      <c r="L122" s="13"/>
      <c r="M122" s="13"/>
      <c r="N122" s="16"/>
      <c r="O122" s="13"/>
      <c r="Q122" s="16"/>
    </row>
    <row r="123" spans="8:17" x14ac:dyDescent="0.3">
      <c r="H123" s="13"/>
      <c r="L123" s="13"/>
      <c r="M123" s="13"/>
      <c r="N123" s="16"/>
      <c r="O123" s="13"/>
      <c r="Q123" s="16"/>
    </row>
    <row r="124" spans="8:17" x14ac:dyDescent="0.3">
      <c r="H124" s="13"/>
      <c r="L124" s="13"/>
      <c r="M124" s="13"/>
      <c r="N124" s="16"/>
      <c r="O124" s="13"/>
      <c r="Q124" s="16"/>
    </row>
    <row r="125" spans="8:17" x14ac:dyDescent="0.3">
      <c r="H125" s="13"/>
      <c r="L125" s="13"/>
      <c r="M125" s="13"/>
      <c r="N125" s="16"/>
      <c r="O125" s="13"/>
      <c r="Q125" s="16"/>
    </row>
    <row r="126" spans="8:17" x14ac:dyDescent="0.3">
      <c r="H126" s="13"/>
      <c r="L126" s="13"/>
      <c r="M126" s="13"/>
      <c r="N126" s="16"/>
      <c r="O126" s="13"/>
      <c r="Q126" s="16"/>
    </row>
    <row r="127" spans="8:17" x14ac:dyDescent="0.3">
      <c r="H127" s="13"/>
      <c r="L127" s="13"/>
      <c r="M127" s="13"/>
      <c r="N127" s="16"/>
      <c r="O127" s="13"/>
      <c r="Q127" s="16"/>
    </row>
    <row r="128" spans="8:17" x14ac:dyDescent="0.3">
      <c r="H128" s="13"/>
      <c r="L128" s="13"/>
      <c r="M128" s="13"/>
      <c r="N128" s="16"/>
      <c r="O128" s="13"/>
      <c r="Q128" s="16"/>
    </row>
    <row r="129" spans="8:17" x14ac:dyDescent="0.3">
      <c r="H129" s="13"/>
      <c r="L129" s="13"/>
      <c r="M129" s="13"/>
      <c r="N129" s="16"/>
      <c r="O129" s="13"/>
      <c r="Q129" s="16"/>
    </row>
    <row r="130" spans="8:17" x14ac:dyDescent="0.3">
      <c r="H130" s="13"/>
      <c r="L130" s="13"/>
      <c r="M130" s="13"/>
      <c r="N130" s="16"/>
      <c r="O130" s="13"/>
      <c r="Q130" s="16"/>
    </row>
    <row r="131" spans="8:17" x14ac:dyDescent="0.3">
      <c r="H131" s="13"/>
      <c r="L131" s="13"/>
      <c r="M131" s="13"/>
      <c r="N131" s="16"/>
      <c r="O131" s="13"/>
      <c r="Q131" s="16"/>
    </row>
    <row r="132" spans="8:17" x14ac:dyDescent="0.3">
      <c r="H132" s="13"/>
      <c r="L132" s="13"/>
      <c r="M132" s="13"/>
      <c r="N132" s="16"/>
      <c r="O132" s="13"/>
      <c r="Q132" s="16"/>
    </row>
    <row r="133" spans="8:17" x14ac:dyDescent="0.3">
      <c r="H133" s="13"/>
      <c r="L133" s="13"/>
      <c r="M133" s="13"/>
      <c r="N133" s="16"/>
      <c r="O133" s="13"/>
      <c r="Q133" s="16"/>
    </row>
    <row r="134" spans="8:17" x14ac:dyDescent="0.3">
      <c r="H134" s="13"/>
      <c r="L134" s="13"/>
      <c r="M134" s="13"/>
      <c r="N134" s="16"/>
      <c r="O134" s="13"/>
      <c r="Q134" s="16"/>
    </row>
    <row r="135" spans="8:17" x14ac:dyDescent="0.3">
      <c r="H135" s="13"/>
      <c r="L135" s="13"/>
      <c r="M135" s="13"/>
      <c r="N135" s="16"/>
      <c r="O135" s="13"/>
      <c r="Q135" s="16"/>
    </row>
    <row r="136" spans="8:17" x14ac:dyDescent="0.3">
      <c r="H136" s="13"/>
      <c r="L136" s="13"/>
      <c r="M136" s="13"/>
      <c r="N136" s="16"/>
      <c r="O136" s="13"/>
      <c r="Q136" s="16"/>
    </row>
    <row r="137" spans="8:17" x14ac:dyDescent="0.3">
      <c r="H137" s="13"/>
      <c r="L137" s="13"/>
      <c r="M137" s="13"/>
      <c r="N137" s="16"/>
      <c r="O137" s="20"/>
      <c r="Q137" s="16"/>
    </row>
    <row r="138" spans="8:17" x14ac:dyDescent="0.3">
      <c r="L138" s="13"/>
      <c r="M138" s="13"/>
      <c r="N138"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46C0-FFFA-40F3-8821-F82B24672274}">
  <dimension ref="A1:AE1"/>
  <sheetViews>
    <sheetView zoomScale="72" zoomScaleNormal="55" workbookViewId="0">
      <selection activeCell="AD15" sqref="AD15"/>
    </sheetView>
  </sheetViews>
  <sheetFormatPr defaultRowHeight="14.4" x14ac:dyDescent="0.3"/>
  <cols>
    <col min="1" max="1" width="3.44140625" customWidth="1"/>
    <col min="2" max="2" width="18.21875" customWidth="1"/>
    <col min="3" max="3" width="3.44140625" customWidth="1"/>
    <col min="27" max="27" width="10.44140625" bestFit="1" customWidth="1"/>
    <col min="28" max="28" width="9.77734375" bestFit="1" customWidth="1"/>
    <col min="32" max="16384" width="8.88671875" style="2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24E0D-31AB-4BC8-899E-A1755C179BE5}">
  <dimension ref="A2:S50"/>
  <sheetViews>
    <sheetView tabSelected="1" zoomScale="54" workbookViewId="0">
      <selection activeCell="O36" sqref="O36"/>
    </sheetView>
  </sheetViews>
  <sheetFormatPr defaultRowHeight="14.4" x14ac:dyDescent="0.3"/>
  <cols>
    <col min="1" max="1" width="20.44140625" customWidth="1"/>
    <col min="2" max="2" width="18.33203125" customWidth="1"/>
    <col min="3" max="3" width="16.88671875" customWidth="1"/>
    <col min="4" max="4" width="19.77734375" customWidth="1"/>
    <col min="5" max="5" width="22" customWidth="1"/>
    <col min="6" max="6" width="10.5546875" bestFit="1" customWidth="1"/>
    <col min="8" max="8" width="25.77734375" customWidth="1"/>
    <col min="10" max="10" width="15.109375" customWidth="1"/>
    <col min="15" max="15" width="25.33203125" bestFit="1" customWidth="1"/>
    <col min="16" max="16" width="13" bestFit="1" customWidth="1"/>
    <col min="19" max="19" width="13.77734375" customWidth="1"/>
    <col min="20" max="20" width="14.88671875" bestFit="1" customWidth="1"/>
    <col min="21" max="21" width="14.33203125" bestFit="1" customWidth="1"/>
    <col min="22" max="22" width="23.88671875" bestFit="1" customWidth="1"/>
    <col min="23" max="23" width="11.6640625" customWidth="1"/>
    <col min="24" max="24" width="12.88671875" customWidth="1"/>
  </cols>
  <sheetData>
    <row r="2" spans="1:19" x14ac:dyDescent="0.3">
      <c r="H2" t="s">
        <v>2568</v>
      </c>
      <c r="O2" s="13"/>
    </row>
    <row r="3" spans="1:19" ht="15" thickBot="1" x14ac:dyDescent="0.35">
      <c r="A3" s="14" t="s">
        <v>2554</v>
      </c>
      <c r="B3" s="14" t="s">
        <v>2563</v>
      </c>
      <c r="N3" s="14" t="s">
        <v>2561</v>
      </c>
      <c r="O3" t="s">
        <v>2552</v>
      </c>
      <c r="S3" s="13"/>
    </row>
    <row r="4" spans="1:19" ht="15.6" thickTop="1" thickBot="1" x14ac:dyDescent="0.35">
      <c r="A4" s="14" t="s">
        <v>2561</v>
      </c>
      <c r="B4" t="s">
        <v>2564</v>
      </c>
      <c r="C4" t="s">
        <v>2565</v>
      </c>
      <c r="D4" t="s">
        <v>2566</v>
      </c>
      <c r="E4" t="s">
        <v>2567</v>
      </c>
      <c r="F4" t="s">
        <v>2562</v>
      </c>
      <c r="H4" s="19"/>
      <c r="I4" s="19" t="str">
        <f>B4</f>
        <v>Female</v>
      </c>
      <c r="J4" s="19" t="str">
        <f t="shared" ref="J4:L4" si="0">C4</f>
        <v>Male</v>
      </c>
      <c r="K4" s="19" t="str">
        <f t="shared" si="0"/>
        <v>Other</v>
      </c>
      <c r="L4" s="19" t="str">
        <f t="shared" si="0"/>
        <v>Unknown</v>
      </c>
      <c r="N4" s="15">
        <v>1</v>
      </c>
      <c r="O4">
        <v>397</v>
      </c>
    </row>
    <row r="5" spans="1:19" ht="15.6" thickTop="1" thickBot="1" x14ac:dyDescent="0.35">
      <c r="A5" s="15" t="s">
        <v>18</v>
      </c>
      <c r="B5" s="18">
        <v>0.18961825201634841</v>
      </c>
      <c r="C5" s="18">
        <v>0.12262322351336576</v>
      </c>
      <c r="D5" s="18">
        <v>1.060537752469185E-2</v>
      </c>
      <c r="E5" s="18">
        <v>3.0599220547662797E-2</v>
      </c>
      <c r="F5" s="18">
        <v>0.35344607360206881</v>
      </c>
      <c r="H5" s="19" t="str">
        <f>A5</f>
        <v>App</v>
      </c>
      <c r="I5" s="19">
        <f t="shared" ref="I5:L9" si="1">B5</f>
        <v>0.18961825201634841</v>
      </c>
      <c r="J5" s="19">
        <f t="shared" si="1"/>
        <v>0.12262322351336576</v>
      </c>
      <c r="K5" s="19">
        <f t="shared" si="1"/>
        <v>1.060537752469185E-2</v>
      </c>
      <c r="L5" s="19">
        <f t="shared" si="1"/>
        <v>3.0599220547662797E-2</v>
      </c>
      <c r="N5" s="15">
        <v>2</v>
      </c>
      <c r="O5">
        <v>540</v>
      </c>
    </row>
    <row r="6" spans="1:19" ht="15.6" thickTop="1" thickBot="1" x14ac:dyDescent="0.35">
      <c r="A6" s="15" t="s">
        <v>51</v>
      </c>
      <c r="B6" s="18">
        <v>5.0283982091147303E-2</v>
      </c>
      <c r="C6" s="18">
        <v>4.3060781812819873E-2</v>
      </c>
      <c r="D6" s="18">
        <v>1.5320025675641944E-3</v>
      </c>
      <c r="E6" s="18">
        <v>1.7794988689097006E-2</v>
      </c>
      <c r="F6" s="18">
        <v>0.11267175516062837</v>
      </c>
      <c r="H6" s="19" t="str">
        <f t="shared" ref="H6:H9" si="2">A6</f>
        <v>Instagram</v>
      </c>
      <c r="I6" s="19">
        <f t="shared" si="1"/>
        <v>5.0283982091147303E-2</v>
      </c>
      <c r="J6" s="19">
        <f t="shared" si="1"/>
        <v>4.3060781812819873E-2</v>
      </c>
      <c r="K6" s="19">
        <f t="shared" si="1"/>
        <v>1.5320025675641944E-3</v>
      </c>
      <c r="L6" s="19">
        <f t="shared" si="1"/>
        <v>1.7794988689097006E-2</v>
      </c>
      <c r="N6" s="15">
        <v>3</v>
      </c>
      <c r="O6">
        <v>375</v>
      </c>
    </row>
    <row r="7" spans="1:19" ht="15.6" thickTop="1" thickBot="1" x14ac:dyDescent="0.35">
      <c r="A7" s="15" t="s">
        <v>70</v>
      </c>
      <c r="B7" s="18">
        <v>6.3496059750411282E-2</v>
      </c>
      <c r="C7" s="18">
        <v>4.6071629863988765E-2</v>
      </c>
      <c r="D7" s="18">
        <v>2.306247051322625E-3</v>
      </c>
      <c r="E7" s="18">
        <v>3.8927934093844286E-3</v>
      </c>
      <c r="F7" s="18">
        <v>0.11576673007510711</v>
      </c>
      <c r="H7" s="19" t="str">
        <f t="shared" si="2"/>
        <v>Partner App</v>
      </c>
      <c r="I7" s="19">
        <f t="shared" si="1"/>
        <v>6.3496059750411282E-2</v>
      </c>
      <c r="J7" s="19">
        <f t="shared" si="1"/>
        <v>4.6071629863988765E-2</v>
      </c>
      <c r="K7" s="19">
        <f t="shared" si="1"/>
        <v>2.306247051322625E-3</v>
      </c>
      <c r="L7" s="19">
        <f t="shared" si="1"/>
        <v>3.8927934093844286E-3</v>
      </c>
      <c r="N7" s="15">
        <v>4</v>
      </c>
      <c r="O7">
        <v>246</v>
      </c>
    </row>
    <row r="8" spans="1:19" ht="15.6" thickTop="1" thickBot="1" x14ac:dyDescent="0.35">
      <c r="A8" s="15" t="s">
        <v>40</v>
      </c>
      <c r="B8" s="18">
        <v>9.6337892927149532E-2</v>
      </c>
      <c r="C8" s="18">
        <v>6.7920115842382611E-2</v>
      </c>
      <c r="D8" s="18">
        <v>5.4979832664581261E-3</v>
      </c>
      <c r="E8" s="18">
        <v>1.2933041488102518E-2</v>
      </c>
      <c r="F8" s="18">
        <v>0.1826890335240928</v>
      </c>
      <c r="H8" s="19" t="str">
        <f t="shared" si="2"/>
        <v>Target.com</v>
      </c>
      <c r="I8" s="19">
        <f t="shared" si="1"/>
        <v>9.6337892927149532E-2</v>
      </c>
      <c r="J8" s="19">
        <f t="shared" si="1"/>
        <v>6.7920115842382611E-2</v>
      </c>
      <c r="K8" s="19">
        <f t="shared" si="1"/>
        <v>5.4979832664581261E-3</v>
      </c>
      <c r="L8" s="19">
        <f t="shared" si="1"/>
        <v>1.2933041488102518E-2</v>
      </c>
      <c r="N8" s="15">
        <v>5</v>
      </c>
      <c r="O8">
        <v>195</v>
      </c>
    </row>
    <row r="9" spans="1:19" ht="15.6" thickTop="1" thickBot="1" x14ac:dyDescent="0.35">
      <c r="A9" s="15" t="s">
        <v>35</v>
      </c>
      <c r="B9" s="18">
        <v>0.12522098709469262</v>
      </c>
      <c r="C9" s="18">
        <v>9.1492740283116228E-2</v>
      </c>
      <c r="D9" s="18">
        <v>6.3042760790965081E-3</v>
      </c>
      <c r="E9" s="18">
        <v>1.2408404181197551E-2</v>
      </c>
      <c r="F9" s="18">
        <v>0.23542640763810288</v>
      </c>
      <c r="H9" s="19" t="str">
        <f t="shared" si="2"/>
        <v>Website</v>
      </c>
      <c r="I9" s="19">
        <f t="shared" si="1"/>
        <v>0.12522098709469262</v>
      </c>
      <c r="J9" s="19">
        <f t="shared" si="1"/>
        <v>9.1492740283116228E-2</v>
      </c>
      <c r="K9" s="19">
        <f t="shared" si="1"/>
        <v>6.3042760790965081E-3</v>
      </c>
      <c r="L9" s="19">
        <f t="shared" si="1"/>
        <v>1.2408404181197551E-2</v>
      </c>
      <c r="N9" s="15" t="s">
        <v>2569</v>
      </c>
      <c r="O9">
        <v>414</v>
      </c>
    </row>
    <row r="10" spans="1:19" ht="15" thickTop="1" x14ac:dyDescent="0.3">
      <c r="A10" s="15" t="s">
        <v>2562</v>
      </c>
      <c r="B10" s="18">
        <v>0.52495717387974916</v>
      </c>
      <c r="C10" s="18">
        <v>0.3711684913156732</v>
      </c>
      <c r="D10" s="18">
        <v>2.6245886489133303E-2</v>
      </c>
      <c r="E10" s="18">
        <v>7.7628448315444312E-2</v>
      </c>
      <c r="F10" s="18">
        <v>1</v>
      </c>
      <c r="N10" s="15" t="s">
        <v>2570</v>
      </c>
      <c r="O10">
        <v>233</v>
      </c>
    </row>
    <row r="11" spans="1:19" x14ac:dyDescent="0.3">
      <c r="N11" s="15" t="s">
        <v>2562</v>
      </c>
      <c r="O11">
        <v>2400</v>
      </c>
    </row>
    <row r="13" spans="1:19" x14ac:dyDescent="0.3">
      <c r="A13" s="13" t="s">
        <v>2571</v>
      </c>
      <c r="D13" s="13" t="s">
        <v>2572</v>
      </c>
    </row>
    <row r="15" spans="1:19" x14ac:dyDescent="0.3">
      <c r="A15" s="14" t="s">
        <v>2561</v>
      </c>
      <c r="B15" t="s">
        <v>2552</v>
      </c>
      <c r="D15" s="14" t="s">
        <v>2552</v>
      </c>
      <c r="E15" s="14" t="s">
        <v>2563</v>
      </c>
      <c r="N15" s="14" t="s">
        <v>2561</v>
      </c>
      <c r="O15" t="s">
        <v>2553</v>
      </c>
    </row>
    <row r="16" spans="1:19" x14ac:dyDescent="0.3">
      <c r="A16" s="15">
        <v>0</v>
      </c>
      <c r="B16">
        <v>175</v>
      </c>
      <c r="D16" s="14" t="s">
        <v>2561</v>
      </c>
      <c r="E16">
        <v>1</v>
      </c>
      <c r="F16">
        <v>2</v>
      </c>
      <c r="G16">
        <v>3</v>
      </c>
      <c r="H16">
        <v>4</v>
      </c>
      <c r="I16">
        <v>5</v>
      </c>
      <c r="J16" t="s">
        <v>2562</v>
      </c>
      <c r="N16" s="15" t="s">
        <v>2564</v>
      </c>
      <c r="O16">
        <v>6272</v>
      </c>
    </row>
    <row r="17" spans="1:19" x14ac:dyDescent="0.3">
      <c r="A17" s="15">
        <v>1</v>
      </c>
      <c r="B17">
        <v>888</v>
      </c>
      <c r="D17" s="15" t="s">
        <v>2573</v>
      </c>
      <c r="E17">
        <v>7</v>
      </c>
      <c r="F17">
        <v>37</v>
      </c>
      <c r="G17">
        <v>150</v>
      </c>
      <c r="H17">
        <v>312</v>
      </c>
      <c r="I17">
        <v>224</v>
      </c>
      <c r="J17">
        <v>730</v>
      </c>
      <c r="N17" s="15" t="s">
        <v>2565</v>
      </c>
      <c r="O17">
        <v>4672</v>
      </c>
      <c r="S17" s="13"/>
    </row>
    <row r="18" spans="1:19" x14ac:dyDescent="0.3">
      <c r="A18" s="15">
        <v>2</v>
      </c>
      <c r="B18">
        <v>538</v>
      </c>
      <c r="D18" s="15" t="s">
        <v>2574</v>
      </c>
      <c r="E18">
        <v>8</v>
      </c>
      <c r="F18">
        <v>51</v>
      </c>
      <c r="G18">
        <v>182</v>
      </c>
      <c r="H18">
        <v>373</v>
      </c>
      <c r="I18">
        <v>247</v>
      </c>
      <c r="J18">
        <v>861</v>
      </c>
      <c r="N18" s="15" t="s">
        <v>2566</v>
      </c>
      <c r="O18">
        <v>317</v>
      </c>
    </row>
    <row r="19" spans="1:19" x14ac:dyDescent="0.3">
      <c r="A19" s="15">
        <v>3</v>
      </c>
      <c r="B19">
        <v>344</v>
      </c>
      <c r="D19" s="15" t="s">
        <v>2575</v>
      </c>
      <c r="E19">
        <v>6</v>
      </c>
      <c r="F19">
        <v>39</v>
      </c>
      <c r="G19">
        <v>163</v>
      </c>
      <c r="H19">
        <v>351</v>
      </c>
      <c r="I19">
        <v>250</v>
      </c>
      <c r="J19">
        <v>809</v>
      </c>
      <c r="N19" s="15" t="s">
        <v>2567</v>
      </c>
      <c r="O19">
        <v>736</v>
      </c>
    </row>
    <row r="20" spans="1:19" x14ac:dyDescent="0.3">
      <c r="A20" s="15">
        <v>4</v>
      </c>
      <c r="B20">
        <v>200</v>
      </c>
      <c r="D20" s="15" t="s">
        <v>2562</v>
      </c>
      <c r="E20">
        <v>21</v>
      </c>
      <c r="F20">
        <v>127</v>
      </c>
      <c r="G20">
        <v>495</v>
      </c>
      <c r="H20">
        <v>1036</v>
      </c>
      <c r="I20">
        <v>721</v>
      </c>
      <c r="J20">
        <v>2400</v>
      </c>
      <c r="N20" s="15" t="s">
        <v>2562</v>
      </c>
      <c r="O20">
        <v>11997</v>
      </c>
    </row>
    <row r="21" spans="1:19" x14ac:dyDescent="0.3">
      <c r="A21" s="15">
        <v>5</v>
      </c>
      <c r="B21">
        <v>94</v>
      </c>
    </row>
    <row r="22" spans="1:19" x14ac:dyDescent="0.3">
      <c r="A22" s="15">
        <v>6</v>
      </c>
      <c r="B22">
        <v>51</v>
      </c>
    </row>
    <row r="23" spans="1:19" x14ac:dyDescent="0.3">
      <c r="A23" s="15">
        <v>7</v>
      </c>
      <c r="B23">
        <v>32</v>
      </c>
    </row>
    <row r="24" spans="1:19" x14ac:dyDescent="0.3">
      <c r="A24" s="15">
        <v>8</v>
      </c>
      <c r="B24">
        <v>23</v>
      </c>
      <c r="D24" s="14" t="s">
        <v>2552</v>
      </c>
      <c r="E24" t="s">
        <v>2553</v>
      </c>
      <c r="F24" t="s">
        <v>2554</v>
      </c>
      <c r="G24" t="s">
        <v>2555</v>
      </c>
      <c r="H24" t="s">
        <v>2556</v>
      </c>
    </row>
    <row r="25" spans="1:19" x14ac:dyDescent="0.3">
      <c r="A25" s="15">
        <v>9</v>
      </c>
      <c r="B25">
        <v>9</v>
      </c>
      <c r="D25">
        <v>2400</v>
      </c>
      <c r="E25">
        <v>11997</v>
      </c>
      <c r="F25">
        <v>649019.80000000144</v>
      </c>
      <c r="G25" s="12">
        <v>2.3424999999999998</v>
      </c>
      <c r="H25" s="12">
        <v>3.9620833333333332</v>
      </c>
    </row>
    <row r="26" spans="1:19" x14ac:dyDescent="0.3">
      <c r="A26" s="15">
        <v>10</v>
      </c>
      <c r="B26">
        <v>8</v>
      </c>
    </row>
    <row r="27" spans="1:19" x14ac:dyDescent="0.3">
      <c r="A27" s="15">
        <v>11</v>
      </c>
      <c r="B27">
        <v>11</v>
      </c>
    </row>
    <row r="28" spans="1:19" x14ac:dyDescent="0.3">
      <c r="A28" s="15">
        <v>12</v>
      </c>
      <c r="B28">
        <v>4</v>
      </c>
      <c r="E28" s="14" t="s">
        <v>2553</v>
      </c>
      <c r="F28" s="14" t="s">
        <v>2563</v>
      </c>
    </row>
    <row r="29" spans="1:19" x14ac:dyDescent="0.3">
      <c r="A29" s="15">
        <v>13</v>
      </c>
      <c r="B29">
        <v>10</v>
      </c>
      <c r="E29" s="14" t="s">
        <v>2561</v>
      </c>
      <c r="F29" t="s">
        <v>2564</v>
      </c>
      <c r="G29" t="s">
        <v>2565</v>
      </c>
      <c r="H29" t="s">
        <v>2566</v>
      </c>
      <c r="I29" t="s">
        <v>2567</v>
      </c>
      <c r="J29" t="s">
        <v>2562</v>
      </c>
    </row>
    <row r="30" spans="1:19" x14ac:dyDescent="0.3">
      <c r="A30" s="15">
        <v>14</v>
      </c>
      <c r="B30">
        <v>13</v>
      </c>
      <c r="E30" s="15" t="s">
        <v>44</v>
      </c>
      <c r="F30">
        <v>744</v>
      </c>
      <c r="G30">
        <v>713</v>
      </c>
      <c r="H30">
        <v>90</v>
      </c>
      <c r="I30">
        <v>98</v>
      </c>
      <c r="J30">
        <v>1645</v>
      </c>
    </row>
    <row r="31" spans="1:19" x14ac:dyDescent="0.3">
      <c r="A31" s="15" t="s">
        <v>2562</v>
      </c>
      <c r="B31">
        <v>2400</v>
      </c>
      <c r="E31" s="15" t="s">
        <v>39</v>
      </c>
      <c r="F31">
        <v>716</v>
      </c>
      <c r="G31">
        <v>598</v>
      </c>
      <c r="H31">
        <v>18</v>
      </c>
      <c r="I31">
        <v>214</v>
      </c>
      <c r="J31">
        <v>1546</v>
      </c>
    </row>
    <row r="32" spans="1:19" x14ac:dyDescent="0.3">
      <c r="E32" s="15" t="s">
        <v>26</v>
      </c>
      <c r="F32">
        <v>627</v>
      </c>
      <c r="G32">
        <v>393</v>
      </c>
      <c r="H32">
        <v>29</v>
      </c>
      <c r="I32">
        <v>137</v>
      </c>
      <c r="J32">
        <v>1186</v>
      </c>
    </row>
    <row r="33" spans="1:10" x14ac:dyDescent="0.3">
      <c r="A33" s="13" t="s">
        <v>2560</v>
      </c>
      <c r="E33" s="15" t="s">
        <v>22</v>
      </c>
      <c r="F33">
        <v>568</v>
      </c>
      <c r="G33">
        <v>306</v>
      </c>
      <c r="H33">
        <v>22</v>
      </c>
      <c r="I33">
        <v>16</v>
      </c>
      <c r="J33">
        <v>912</v>
      </c>
    </row>
    <row r="34" spans="1:10" x14ac:dyDescent="0.3">
      <c r="E34" s="15" t="s">
        <v>54</v>
      </c>
      <c r="F34">
        <v>482</v>
      </c>
      <c r="G34">
        <v>295</v>
      </c>
      <c r="H34">
        <v>8</v>
      </c>
      <c r="I34">
        <v>22</v>
      </c>
      <c r="J34">
        <v>807</v>
      </c>
    </row>
    <row r="35" spans="1:10" x14ac:dyDescent="0.3">
      <c r="A35" s="14" t="s">
        <v>2561</v>
      </c>
      <c r="B35" s="14" t="s">
        <v>2553</v>
      </c>
      <c r="C35" t="s">
        <v>2554</v>
      </c>
      <c r="E35" s="15" t="s">
        <v>16</v>
      </c>
      <c r="F35">
        <v>428</v>
      </c>
      <c r="G35">
        <v>293</v>
      </c>
      <c r="I35">
        <v>24</v>
      </c>
      <c r="J35">
        <v>745</v>
      </c>
    </row>
    <row r="36" spans="1:10" x14ac:dyDescent="0.3">
      <c r="A36" s="15">
        <v>1</v>
      </c>
      <c r="B36">
        <v>546</v>
      </c>
      <c r="C36" s="16">
        <v>32413.300000000003</v>
      </c>
      <c r="E36" s="15" t="s">
        <v>46</v>
      </c>
      <c r="F36">
        <v>445</v>
      </c>
      <c r="G36">
        <v>202</v>
      </c>
      <c r="H36">
        <v>14</v>
      </c>
      <c r="I36">
        <v>39</v>
      </c>
      <c r="J36">
        <v>700</v>
      </c>
    </row>
    <row r="37" spans="1:10" x14ac:dyDescent="0.3">
      <c r="A37" s="15">
        <v>2</v>
      </c>
      <c r="B37">
        <v>905</v>
      </c>
      <c r="C37" s="16">
        <v>49562.999999999993</v>
      </c>
      <c r="E37" s="15" t="s">
        <v>32</v>
      </c>
      <c r="F37">
        <v>431</v>
      </c>
      <c r="G37">
        <v>187</v>
      </c>
      <c r="H37">
        <v>14</v>
      </c>
      <c r="I37">
        <v>15</v>
      </c>
      <c r="J37">
        <v>647</v>
      </c>
    </row>
    <row r="38" spans="1:10" x14ac:dyDescent="0.3">
      <c r="A38" s="15">
        <v>3</v>
      </c>
      <c r="B38">
        <v>796</v>
      </c>
      <c r="C38" s="16">
        <v>41700.400000000016</v>
      </c>
      <c r="E38" s="15" t="s">
        <v>42</v>
      </c>
      <c r="F38">
        <v>264</v>
      </c>
      <c r="G38">
        <v>318</v>
      </c>
      <c r="H38">
        <v>15</v>
      </c>
      <c r="I38">
        <v>9</v>
      </c>
      <c r="J38">
        <v>606</v>
      </c>
    </row>
    <row r="39" spans="1:10" x14ac:dyDescent="0.3">
      <c r="A39" s="15">
        <v>4</v>
      </c>
      <c r="B39">
        <v>913</v>
      </c>
      <c r="C39" s="16">
        <v>46782.599999999984</v>
      </c>
      <c r="E39" s="15" t="s">
        <v>37</v>
      </c>
      <c r="F39">
        <v>296</v>
      </c>
      <c r="G39">
        <v>275</v>
      </c>
      <c r="H39">
        <v>9</v>
      </c>
      <c r="I39">
        <v>23</v>
      </c>
      <c r="J39">
        <v>603</v>
      </c>
    </row>
    <row r="40" spans="1:10" x14ac:dyDescent="0.3">
      <c r="A40" s="15">
        <v>5</v>
      </c>
      <c r="B40">
        <v>844</v>
      </c>
      <c r="C40" s="16">
        <v>42676.100000000006</v>
      </c>
      <c r="E40" s="15" t="s">
        <v>123</v>
      </c>
      <c r="F40">
        <v>153</v>
      </c>
      <c r="G40">
        <v>246</v>
      </c>
      <c r="H40">
        <v>30</v>
      </c>
      <c r="I40">
        <v>8</v>
      </c>
      <c r="J40">
        <v>437</v>
      </c>
    </row>
    <row r="41" spans="1:10" x14ac:dyDescent="0.3">
      <c r="A41" s="15">
        <v>6</v>
      </c>
      <c r="B41">
        <v>1202</v>
      </c>
      <c r="C41" s="16">
        <v>62910.7</v>
      </c>
      <c r="E41" s="15" t="s">
        <v>146</v>
      </c>
      <c r="F41">
        <v>189</v>
      </c>
      <c r="G41">
        <v>168</v>
      </c>
      <c r="H41">
        <v>10</v>
      </c>
      <c r="I41">
        <v>31</v>
      </c>
      <c r="J41">
        <v>398</v>
      </c>
    </row>
    <row r="42" spans="1:10" x14ac:dyDescent="0.3">
      <c r="A42" s="15">
        <v>7</v>
      </c>
      <c r="B42">
        <v>935</v>
      </c>
      <c r="C42" s="16">
        <v>50332.200000000004</v>
      </c>
      <c r="E42" s="15" t="s">
        <v>69</v>
      </c>
      <c r="F42">
        <v>234</v>
      </c>
      <c r="G42">
        <v>93</v>
      </c>
      <c r="H42">
        <v>19</v>
      </c>
      <c r="I42">
        <v>24</v>
      </c>
      <c r="J42">
        <v>370</v>
      </c>
    </row>
    <row r="43" spans="1:10" x14ac:dyDescent="0.3">
      <c r="A43" s="15">
        <v>8</v>
      </c>
      <c r="B43">
        <v>1128</v>
      </c>
      <c r="C43" s="16">
        <v>58760.599999999977</v>
      </c>
      <c r="E43" s="15" t="s">
        <v>30</v>
      </c>
      <c r="F43">
        <v>146</v>
      </c>
      <c r="G43">
        <v>94</v>
      </c>
      <c r="H43">
        <v>4</v>
      </c>
      <c r="I43">
        <v>28</v>
      </c>
      <c r="J43">
        <v>272</v>
      </c>
    </row>
    <row r="44" spans="1:10" x14ac:dyDescent="0.3">
      <c r="A44" s="15">
        <v>9</v>
      </c>
      <c r="B44">
        <v>1007</v>
      </c>
      <c r="C44" s="16">
        <v>52017.299999999996</v>
      </c>
      <c r="E44" s="15" t="s">
        <v>135</v>
      </c>
      <c r="F44">
        <v>127</v>
      </c>
      <c r="G44">
        <v>118</v>
      </c>
      <c r="H44">
        <v>13</v>
      </c>
      <c r="I44">
        <v>12</v>
      </c>
      <c r="J44">
        <v>270</v>
      </c>
    </row>
    <row r="45" spans="1:10" x14ac:dyDescent="0.3">
      <c r="A45" s="15">
        <v>10</v>
      </c>
      <c r="B45">
        <v>1128</v>
      </c>
      <c r="C45" s="16">
        <v>64915.700000000033</v>
      </c>
      <c r="E45" s="15" t="s">
        <v>67</v>
      </c>
      <c r="F45">
        <v>179</v>
      </c>
      <c r="G45">
        <v>76</v>
      </c>
      <c r="H45">
        <v>3</v>
      </c>
      <c r="J45">
        <v>258</v>
      </c>
    </row>
    <row r="46" spans="1:10" x14ac:dyDescent="0.3">
      <c r="A46" s="15">
        <v>11</v>
      </c>
      <c r="B46">
        <v>861</v>
      </c>
      <c r="C46" s="16">
        <v>45943.80000000001</v>
      </c>
      <c r="E46" s="15" t="s">
        <v>128</v>
      </c>
      <c r="F46">
        <v>99</v>
      </c>
      <c r="G46">
        <v>69</v>
      </c>
      <c r="H46">
        <v>3</v>
      </c>
      <c r="I46">
        <v>24</v>
      </c>
      <c r="J46">
        <v>195</v>
      </c>
    </row>
    <row r="47" spans="1:10" x14ac:dyDescent="0.3">
      <c r="A47" s="15">
        <v>12</v>
      </c>
      <c r="B47">
        <v>944</v>
      </c>
      <c r="C47" s="16">
        <v>55077.900000000031</v>
      </c>
      <c r="E47" s="15" t="s">
        <v>76</v>
      </c>
      <c r="F47">
        <v>75</v>
      </c>
      <c r="G47">
        <v>103</v>
      </c>
      <c r="H47">
        <v>4</v>
      </c>
      <c r="I47">
        <v>6</v>
      </c>
      <c r="J47">
        <v>188</v>
      </c>
    </row>
    <row r="48" spans="1:10" x14ac:dyDescent="0.3">
      <c r="A48" s="15">
        <v>13</v>
      </c>
      <c r="B48">
        <v>788</v>
      </c>
      <c r="C48" s="16">
        <v>45926.19999999999</v>
      </c>
      <c r="E48" s="15" t="s">
        <v>81</v>
      </c>
      <c r="F48">
        <v>43</v>
      </c>
      <c r="G48">
        <v>90</v>
      </c>
      <c r="H48">
        <v>8</v>
      </c>
      <c r="I48">
        <v>6</v>
      </c>
      <c r="J48">
        <v>147</v>
      </c>
    </row>
    <row r="49" spans="1:10" x14ac:dyDescent="0.3">
      <c r="A49" s="15" t="s">
        <v>2562</v>
      </c>
      <c r="B49">
        <v>11997</v>
      </c>
      <c r="C49" s="16">
        <v>649019.79999999993</v>
      </c>
      <c r="E49" s="15" t="s">
        <v>171</v>
      </c>
      <c r="F49">
        <v>26</v>
      </c>
      <c r="G49">
        <v>35</v>
      </c>
      <c r="H49">
        <v>4</v>
      </c>
      <c r="J49">
        <v>65</v>
      </c>
    </row>
    <row r="50" spans="1:10" x14ac:dyDescent="0.3">
      <c r="E50" s="15" t="s">
        <v>2562</v>
      </c>
      <c r="F50">
        <v>6272</v>
      </c>
      <c r="G50">
        <v>4672</v>
      </c>
      <c r="H50">
        <v>317</v>
      </c>
      <c r="I50">
        <v>736</v>
      </c>
      <c r="J50">
        <v>11997</v>
      </c>
    </row>
  </sheetData>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88819-ABA1-45B8-A090-3BDCFD32ED2F}">
  <dimension ref="A3:B21"/>
  <sheetViews>
    <sheetView workbookViewId="0">
      <selection activeCell="A3" sqref="A3:B21"/>
    </sheetView>
  </sheetViews>
  <sheetFormatPr defaultRowHeight="14.4" x14ac:dyDescent="0.3"/>
  <cols>
    <col min="1" max="1" width="23.44140625" customWidth="1"/>
    <col min="2" max="2" width="12.21875" bestFit="1" customWidth="1"/>
  </cols>
  <sheetData>
    <row r="3" spans="1:2" x14ac:dyDescent="0.3">
      <c r="A3" s="13" t="s">
        <v>2571</v>
      </c>
    </row>
    <row r="5" spans="1:2" x14ac:dyDescent="0.3">
      <c r="A5" s="14" t="s">
        <v>2561</v>
      </c>
      <c r="B5" t="s">
        <v>2552</v>
      </c>
    </row>
    <row r="6" spans="1:2" x14ac:dyDescent="0.3">
      <c r="A6" s="15">
        <v>0</v>
      </c>
      <c r="B6">
        <v>175</v>
      </c>
    </row>
    <row r="7" spans="1:2" x14ac:dyDescent="0.3">
      <c r="A7" s="15">
        <v>1</v>
      </c>
      <c r="B7">
        <v>888</v>
      </c>
    </row>
    <row r="8" spans="1:2" x14ac:dyDescent="0.3">
      <c r="A8" s="15">
        <v>2</v>
      </c>
      <c r="B8">
        <v>538</v>
      </c>
    </row>
    <row r="9" spans="1:2" x14ac:dyDescent="0.3">
      <c r="A9" s="15">
        <v>3</v>
      </c>
      <c r="B9">
        <v>344</v>
      </c>
    </row>
    <row r="10" spans="1:2" x14ac:dyDescent="0.3">
      <c r="A10" s="15">
        <v>4</v>
      </c>
      <c r="B10">
        <v>200</v>
      </c>
    </row>
    <row r="11" spans="1:2" x14ac:dyDescent="0.3">
      <c r="A11" s="15">
        <v>5</v>
      </c>
      <c r="B11">
        <v>94</v>
      </c>
    </row>
    <row r="12" spans="1:2" x14ac:dyDescent="0.3">
      <c r="A12" s="15">
        <v>6</v>
      </c>
      <c r="B12">
        <v>51</v>
      </c>
    </row>
    <row r="13" spans="1:2" x14ac:dyDescent="0.3">
      <c r="A13" s="15">
        <v>7</v>
      </c>
      <c r="B13">
        <v>32</v>
      </c>
    </row>
    <row r="14" spans="1:2" x14ac:dyDescent="0.3">
      <c r="A14" s="15">
        <v>8</v>
      </c>
      <c r="B14">
        <v>23</v>
      </c>
    </row>
    <row r="15" spans="1:2" x14ac:dyDescent="0.3">
      <c r="A15" s="15">
        <v>9</v>
      </c>
      <c r="B15">
        <v>9</v>
      </c>
    </row>
    <row r="16" spans="1:2" x14ac:dyDescent="0.3">
      <c r="A16" s="15">
        <v>10</v>
      </c>
      <c r="B16">
        <v>8</v>
      </c>
    </row>
    <row r="17" spans="1:2" x14ac:dyDescent="0.3">
      <c r="A17" s="15">
        <v>11</v>
      </c>
      <c r="B17">
        <v>11</v>
      </c>
    </row>
    <row r="18" spans="1:2" x14ac:dyDescent="0.3">
      <c r="A18" s="15">
        <v>12</v>
      </c>
      <c r="B18">
        <v>4</v>
      </c>
    </row>
    <row r="19" spans="1:2" x14ac:dyDescent="0.3">
      <c r="A19" s="15">
        <v>13</v>
      </c>
      <c r="B19">
        <v>10</v>
      </c>
    </row>
    <row r="20" spans="1:2" x14ac:dyDescent="0.3">
      <c r="A20" s="15">
        <v>14</v>
      </c>
      <c r="B20">
        <v>13</v>
      </c>
    </row>
    <row r="21" spans="1:2" x14ac:dyDescent="0.3">
      <c r="A21" s="15" t="s">
        <v>2562</v>
      </c>
      <c r="B21">
        <v>2400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12E6C-3C66-427C-A9E5-C03D69D79612}">
  <dimension ref="A3:O61"/>
  <sheetViews>
    <sheetView topLeftCell="B9" workbookViewId="0">
      <selection activeCell="Q58" sqref="Q58"/>
    </sheetView>
  </sheetViews>
  <sheetFormatPr defaultRowHeight="14.4" x14ac:dyDescent="0.3"/>
  <cols>
    <col min="1" max="1" width="22.77734375" bestFit="1" customWidth="1"/>
    <col min="2" max="2" width="19.6640625" bestFit="1" customWidth="1"/>
    <col min="3" max="3" width="13.5546875" bestFit="1" customWidth="1"/>
    <col min="4" max="4" width="14.21875" bestFit="1" customWidth="1"/>
    <col min="5" max="6" width="5" bestFit="1" customWidth="1"/>
    <col min="7" max="7" width="8.77734375" bestFit="1" customWidth="1"/>
    <col min="8" max="8" width="19.6640625" bestFit="1" customWidth="1"/>
    <col min="9" max="9" width="13.5546875" bestFit="1" customWidth="1"/>
    <col min="10" max="12" width="5" bestFit="1" customWidth="1"/>
    <col min="13" max="13" width="8.77734375" bestFit="1" customWidth="1"/>
    <col min="14" max="14" width="19.6640625" bestFit="1" customWidth="1"/>
    <col min="15" max="15" width="13.109375" bestFit="1" customWidth="1"/>
    <col min="16" max="23" width="5" bestFit="1" customWidth="1"/>
    <col min="24" max="24" width="3" bestFit="1" customWidth="1"/>
    <col min="25" max="27" width="5" bestFit="1" customWidth="1"/>
    <col min="28" max="28" width="3" bestFit="1" customWidth="1"/>
    <col min="29" max="39" width="5" bestFit="1" customWidth="1"/>
    <col min="40" max="40" width="3" bestFit="1" customWidth="1"/>
    <col min="41" max="45" width="5" bestFit="1" customWidth="1"/>
    <col min="46" max="46" width="3" bestFit="1" customWidth="1"/>
    <col min="47" max="52" width="5" bestFit="1" customWidth="1"/>
    <col min="53" max="53" width="3" bestFit="1" customWidth="1"/>
    <col min="54" max="58" width="5" bestFit="1" customWidth="1"/>
    <col min="59" max="59" width="3" bestFit="1" customWidth="1"/>
    <col min="60" max="64" width="5" bestFit="1" customWidth="1"/>
    <col min="65" max="65" width="3" bestFit="1" customWidth="1"/>
    <col min="66" max="69" width="5" bestFit="1" customWidth="1"/>
    <col min="70" max="70" width="3" bestFit="1" customWidth="1"/>
    <col min="71" max="73" width="5" bestFit="1" customWidth="1"/>
    <col min="74" max="74" width="3" bestFit="1" customWidth="1"/>
    <col min="75" max="76" width="5" bestFit="1" customWidth="1"/>
    <col min="77" max="77" width="3" bestFit="1" customWidth="1"/>
    <col min="78" max="86" width="5" bestFit="1" customWidth="1"/>
    <col min="87" max="87" width="3" bestFit="1" customWidth="1"/>
    <col min="88" max="93" width="5" bestFit="1" customWidth="1"/>
    <col min="94" max="94" width="3" bestFit="1" customWidth="1"/>
    <col min="95" max="100" width="5" bestFit="1" customWidth="1"/>
    <col min="101" max="101" width="3" bestFit="1" customWidth="1"/>
    <col min="102" max="106" width="5" bestFit="1" customWidth="1"/>
    <col min="107" max="107" width="3" bestFit="1" customWidth="1"/>
    <col min="108" max="112" width="5" bestFit="1" customWidth="1"/>
    <col min="113" max="113" width="3" bestFit="1" customWidth="1"/>
    <col min="114" max="118" width="5" bestFit="1" customWidth="1"/>
    <col min="119" max="119" width="3" bestFit="1" customWidth="1"/>
    <col min="120" max="128" width="5" bestFit="1" customWidth="1"/>
    <col min="129" max="129" width="3" bestFit="1" customWidth="1"/>
    <col min="130" max="147" width="5" bestFit="1" customWidth="1"/>
    <col min="148" max="148" width="3" bestFit="1" customWidth="1"/>
    <col min="149" max="156" width="5" bestFit="1" customWidth="1"/>
    <col min="157" max="157" width="3" bestFit="1" customWidth="1"/>
    <col min="158" max="167" width="5" bestFit="1" customWidth="1"/>
    <col min="168" max="168" width="3" bestFit="1" customWidth="1"/>
    <col min="169" max="173" width="5" bestFit="1" customWidth="1"/>
    <col min="174" max="174" width="3" bestFit="1" customWidth="1"/>
    <col min="175" max="179" width="5" bestFit="1" customWidth="1"/>
    <col min="180" max="180" width="3" bestFit="1" customWidth="1"/>
    <col min="181" max="192" width="5" bestFit="1" customWidth="1"/>
    <col min="193" max="193" width="3" bestFit="1" customWidth="1"/>
    <col min="194" max="199" width="5" bestFit="1" customWidth="1"/>
    <col min="200" max="200" width="3" bestFit="1" customWidth="1"/>
    <col min="201" max="218" width="5" bestFit="1" customWidth="1"/>
    <col min="219" max="219" width="3" bestFit="1" customWidth="1"/>
    <col min="220" max="227" width="5" bestFit="1" customWidth="1"/>
    <col min="228" max="228" width="3" bestFit="1" customWidth="1"/>
    <col min="229" max="234" width="5" bestFit="1" customWidth="1"/>
    <col min="235" max="235" width="3" bestFit="1" customWidth="1"/>
    <col min="236" max="243" width="5" bestFit="1" customWidth="1"/>
    <col min="244" max="244" width="3" bestFit="1" customWidth="1"/>
    <col min="245" max="255" width="5" bestFit="1" customWidth="1"/>
    <col min="256" max="256" width="3" bestFit="1" customWidth="1"/>
    <col min="257" max="265" width="5" bestFit="1" customWidth="1"/>
    <col min="266" max="266" width="3" bestFit="1" customWidth="1"/>
    <col min="267" max="271" width="5" bestFit="1" customWidth="1"/>
    <col min="272" max="272" width="3" bestFit="1" customWidth="1"/>
    <col min="273" max="283" width="5" bestFit="1" customWidth="1"/>
    <col min="284" max="284" width="3" bestFit="1" customWidth="1"/>
    <col min="285" max="290" width="5" bestFit="1" customWidth="1"/>
    <col min="291" max="291" width="3" bestFit="1" customWidth="1"/>
    <col min="292" max="297" width="5" bestFit="1" customWidth="1"/>
    <col min="298" max="298" width="3" bestFit="1" customWidth="1"/>
    <col min="299" max="300" width="5" bestFit="1" customWidth="1"/>
    <col min="301" max="301" width="3" bestFit="1" customWidth="1"/>
    <col min="302" max="307" width="5" bestFit="1" customWidth="1"/>
    <col min="308" max="308" width="3" bestFit="1" customWidth="1"/>
    <col min="309" max="313" width="5" bestFit="1" customWidth="1"/>
    <col min="314" max="314" width="3" bestFit="1" customWidth="1"/>
    <col min="315" max="335" width="5" bestFit="1" customWidth="1"/>
    <col min="336" max="336" width="3" bestFit="1" customWidth="1"/>
    <col min="337" max="343" width="5" bestFit="1" customWidth="1"/>
    <col min="344" max="344" width="3" bestFit="1" customWidth="1"/>
    <col min="345" max="347" width="5" bestFit="1" customWidth="1"/>
    <col min="348" max="348" width="3" bestFit="1" customWidth="1"/>
    <col min="349" max="358" width="5" bestFit="1" customWidth="1"/>
    <col min="359" max="359" width="3" bestFit="1" customWidth="1"/>
    <col min="360" max="364" width="5" bestFit="1" customWidth="1"/>
    <col min="365" max="365" width="3" bestFit="1" customWidth="1"/>
    <col min="366" max="368" width="5" bestFit="1" customWidth="1"/>
    <col min="369" max="369" width="3" bestFit="1" customWidth="1"/>
    <col min="370" max="377" width="5" bestFit="1" customWidth="1"/>
    <col min="378" max="378" width="3" bestFit="1" customWidth="1"/>
    <col min="379" max="385" width="5" bestFit="1" customWidth="1"/>
    <col min="386" max="386" width="3" bestFit="1" customWidth="1"/>
    <col min="387" max="394" width="5" bestFit="1" customWidth="1"/>
    <col min="395" max="395" width="3" bestFit="1" customWidth="1"/>
    <col min="396" max="399" width="5" bestFit="1" customWidth="1"/>
    <col min="400" max="400" width="3" bestFit="1" customWidth="1"/>
    <col min="401" max="407" width="5" bestFit="1" customWidth="1"/>
    <col min="408" max="408" width="3" bestFit="1" customWidth="1"/>
    <col min="409" max="413" width="5" bestFit="1" customWidth="1"/>
    <col min="414" max="414" width="3" bestFit="1" customWidth="1"/>
    <col min="415" max="416" width="5" bestFit="1" customWidth="1"/>
    <col min="417" max="417" width="3" bestFit="1" customWidth="1"/>
    <col min="418" max="434" width="5" bestFit="1" customWidth="1"/>
    <col min="435" max="435" width="3" bestFit="1" customWidth="1"/>
    <col min="436" max="440" width="5" bestFit="1" customWidth="1"/>
    <col min="441" max="441" width="3" bestFit="1" customWidth="1"/>
    <col min="442" max="446" width="5" bestFit="1" customWidth="1"/>
    <col min="447" max="447" width="3" bestFit="1" customWidth="1"/>
    <col min="448" max="450" width="5" bestFit="1" customWidth="1"/>
    <col min="451" max="451" width="3" bestFit="1" customWidth="1"/>
    <col min="452" max="455" width="5" bestFit="1" customWidth="1"/>
    <col min="456" max="456" width="3" bestFit="1" customWidth="1"/>
    <col min="457" max="461" width="5" bestFit="1" customWidth="1"/>
    <col min="462" max="462" width="3" bestFit="1" customWidth="1"/>
    <col min="463" max="465" width="5" bestFit="1" customWidth="1"/>
    <col min="466" max="466" width="3" bestFit="1" customWidth="1"/>
    <col min="467" max="471" width="5" bestFit="1" customWidth="1"/>
    <col min="472" max="472" width="3" bestFit="1" customWidth="1"/>
    <col min="473" max="477" width="5" bestFit="1" customWidth="1"/>
    <col min="478" max="478" width="3" bestFit="1" customWidth="1"/>
    <col min="479" max="482" width="5" bestFit="1" customWidth="1"/>
    <col min="483" max="483" width="3" bestFit="1" customWidth="1"/>
    <col min="484" max="488" width="5" bestFit="1" customWidth="1"/>
    <col min="489" max="489" width="3" bestFit="1" customWidth="1"/>
    <col min="490" max="499" width="5" bestFit="1" customWidth="1"/>
    <col min="500" max="500" width="3" bestFit="1" customWidth="1"/>
    <col min="501" max="510" width="5" bestFit="1" customWidth="1"/>
    <col min="511" max="511" width="4" bestFit="1" customWidth="1"/>
    <col min="512" max="515" width="6" bestFit="1" customWidth="1"/>
    <col min="516" max="516" width="4" bestFit="1" customWidth="1"/>
    <col min="517" max="521" width="6" bestFit="1" customWidth="1"/>
    <col min="522" max="522" width="4" bestFit="1" customWidth="1"/>
    <col min="523" max="525" width="6" bestFit="1" customWidth="1"/>
    <col min="526" max="526" width="4" bestFit="1" customWidth="1"/>
    <col min="527" max="534" width="6" bestFit="1" customWidth="1"/>
    <col min="535" max="535" width="4" bestFit="1" customWidth="1"/>
    <col min="536" max="539" width="6" bestFit="1" customWidth="1"/>
    <col min="540" max="540" width="4" bestFit="1" customWidth="1"/>
    <col min="541" max="549" width="6" bestFit="1" customWidth="1"/>
    <col min="550" max="550" width="4" bestFit="1" customWidth="1"/>
    <col min="551" max="554" width="6" bestFit="1" customWidth="1"/>
    <col min="555" max="555" width="4" bestFit="1" customWidth="1"/>
    <col min="556" max="569" width="6" bestFit="1" customWidth="1"/>
    <col min="570" max="570" width="4" bestFit="1" customWidth="1"/>
    <col min="571" max="573" width="6" bestFit="1" customWidth="1"/>
    <col min="574" max="574" width="4" bestFit="1" customWidth="1"/>
    <col min="575" max="579" width="6" bestFit="1" customWidth="1"/>
    <col min="580" max="580" width="4" bestFit="1" customWidth="1"/>
    <col min="581" max="585" width="6" bestFit="1" customWidth="1"/>
    <col min="586" max="586" width="4" bestFit="1" customWidth="1"/>
    <col min="587" max="590" width="6" bestFit="1" customWidth="1"/>
    <col min="591" max="591" width="4" bestFit="1" customWidth="1"/>
    <col min="592" max="592" width="6" bestFit="1" customWidth="1"/>
    <col min="593" max="593" width="4" bestFit="1" customWidth="1"/>
    <col min="594" max="599" width="6" bestFit="1" customWidth="1"/>
    <col min="600" max="600" width="4" bestFit="1" customWidth="1"/>
    <col min="601" max="606" width="6" bestFit="1" customWidth="1"/>
    <col min="607" max="607" width="4" bestFit="1" customWidth="1"/>
    <col min="608" max="612" width="6" bestFit="1" customWidth="1"/>
    <col min="613" max="613" width="4" bestFit="1" customWidth="1"/>
    <col min="614" max="618" width="6" bestFit="1" customWidth="1"/>
    <col min="619" max="619" width="4" bestFit="1" customWidth="1"/>
    <col min="620" max="621" width="6" bestFit="1" customWidth="1"/>
    <col min="622" max="622" width="4" bestFit="1" customWidth="1"/>
    <col min="623" max="626" width="6" bestFit="1" customWidth="1"/>
    <col min="627" max="627" width="4" bestFit="1" customWidth="1"/>
    <col min="628" max="631" width="6" bestFit="1" customWidth="1"/>
    <col min="632" max="632" width="4" bestFit="1" customWidth="1"/>
    <col min="633" max="638" width="6" bestFit="1" customWidth="1"/>
    <col min="639" max="639" width="4" bestFit="1" customWidth="1"/>
    <col min="640" max="641" width="6" bestFit="1" customWidth="1"/>
    <col min="642" max="642" width="4" bestFit="1" customWidth="1"/>
    <col min="643" max="647" width="6" bestFit="1" customWidth="1"/>
    <col min="648" max="648" width="4" bestFit="1" customWidth="1"/>
    <col min="649" max="656" width="6" bestFit="1" customWidth="1"/>
    <col min="657" max="657" width="4" bestFit="1" customWidth="1"/>
    <col min="658" max="659" width="6" bestFit="1" customWidth="1"/>
    <col min="660" max="660" width="4" bestFit="1" customWidth="1"/>
    <col min="661" max="675" width="6" bestFit="1" customWidth="1"/>
    <col min="676" max="676" width="4" bestFit="1" customWidth="1"/>
    <col min="677" max="681" width="6" bestFit="1" customWidth="1"/>
    <col min="682" max="682" width="4" bestFit="1" customWidth="1"/>
    <col min="683" max="686" width="6" bestFit="1" customWidth="1"/>
    <col min="687" max="687" width="4" bestFit="1" customWidth="1"/>
    <col min="688" max="696" width="6" bestFit="1" customWidth="1"/>
    <col min="697" max="697" width="4" bestFit="1" customWidth="1"/>
    <col min="698" max="700" width="6" bestFit="1" customWidth="1"/>
    <col min="701" max="701" width="4" bestFit="1" customWidth="1"/>
    <col min="702" max="706" width="6" bestFit="1" customWidth="1"/>
    <col min="707" max="707" width="4" bestFit="1" customWidth="1"/>
    <col min="708" max="714" width="6" bestFit="1" customWidth="1"/>
    <col min="715" max="715" width="4" bestFit="1" customWidth="1"/>
    <col min="716" max="718" width="6" bestFit="1" customWidth="1"/>
    <col min="719" max="719" width="4" bestFit="1" customWidth="1"/>
    <col min="720" max="730" width="6" bestFit="1" customWidth="1"/>
    <col min="731" max="731" width="4" bestFit="1" customWidth="1"/>
    <col min="732" max="736" width="6" bestFit="1" customWidth="1"/>
    <col min="737" max="737" width="4" bestFit="1" customWidth="1"/>
    <col min="738" max="746" width="6" bestFit="1" customWidth="1"/>
    <col min="747" max="747" width="4" bestFit="1" customWidth="1"/>
    <col min="748" max="754" width="6" bestFit="1" customWidth="1"/>
    <col min="755" max="755" width="4" bestFit="1" customWidth="1"/>
    <col min="756" max="758" width="6" bestFit="1" customWidth="1"/>
    <col min="759" max="759" width="4" bestFit="1" customWidth="1"/>
    <col min="760" max="763" width="6" bestFit="1" customWidth="1"/>
    <col min="764" max="764" width="4" bestFit="1" customWidth="1"/>
    <col min="765" max="769" width="6" bestFit="1" customWidth="1"/>
    <col min="770" max="770" width="4" bestFit="1" customWidth="1"/>
    <col min="771" max="779" width="6" bestFit="1" customWidth="1"/>
    <col min="780" max="780" width="4" bestFit="1" customWidth="1"/>
    <col min="781" max="784" width="6" bestFit="1" customWidth="1"/>
    <col min="785" max="785" width="4" bestFit="1" customWidth="1"/>
    <col min="786" max="787" width="6" bestFit="1" customWidth="1"/>
    <col min="788" max="788" width="4" bestFit="1" customWidth="1"/>
    <col min="789" max="790" width="6" bestFit="1" customWidth="1"/>
    <col min="791" max="791" width="4" bestFit="1" customWidth="1"/>
    <col min="792" max="795" width="6" bestFit="1" customWidth="1"/>
    <col min="796" max="796" width="4" bestFit="1" customWidth="1"/>
    <col min="797" max="800" width="6" bestFit="1" customWidth="1"/>
    <col min="801" max="801" width="4" bestFit="1" customWidth="1"/>
    <col min="802" max="804" width="6" bestFit="1" customWidth="1"/>
    <col min="805" max="805" width="4" bestFit="1" customWidth="1"/>
    <col min="806" max="808" width="6" bestFit="1" customWidth="1"/>
    <col min="809" max="809" width="4" bestFit="1" customWidth="1"/>
    <col min="810" max="813" width="6" bestFit="1" customWidth="1"/>
    <col min="814" max="814" width="4" bestFit="1" customWidth="1"/>
    <col min="815" max="817" width="6" bestFit="1" customWidth="1"/>
    <col min="818" max="818" width="4" bestFit="1" customWidth="1"/>
    <col min="819" max="827" width="6" bestFit="1" customWidth="1"/>
    <col min="828" max="828" width="4" bestFit="1" customWidth="1"/>
    <col min="829" max="831" width="6" bestFit="1" customWidth="1"/>
    <col min="832" max="832" width="4" bestFit="1" customWidth="1"/>
    <col min="833" max="835" width="6" bestFit="1" customWidth="1"/>
    <col min="836" max="836" width="4" bestFit="1" customWidth="1"/>
    <col min="837" max="841" width="6" bestFit="1" customWidth="1"/>
    <col min="842" max="842" width="4" bestFit="1" customWidth="1"/>
    <col min="843" max="844" width="6" bestFit="1" customWidth="1"/>
    <col min="845" max="845" width="4" bestFit="1" customWidth="1"/>
    <col min="846" max="849" width="6" bestFit="1" customWidth="1"/>
    <col min="850" max="850" width="4" bestFit="1" customWidth="1"/>
    <col min="851" max="853" width="6" bestFit="1" customWidth="1"/>
    <col min="854" max="854" width="4" bestFit="1" customWidth="1"/>
    <col min="855" max="859" width="6" bestFit="1" customWidth="1"/>
    <col min="860" max="860" width="4" bestFit="1" customWidth="1"/>
    <col min="861" max="862" width="6" bestFit="1" customWidth="1"/>
    <col min="863" max="863" width="4" bestFit="1" customWidth="1"/>
    <col min="864" max="866" width="6" bestFit="1" customWidth="1"/>
    <col min="867" max="867" width="4" bestFit="1" customWidth="1"/>
    <col min="868" max="869" width="6" bestFit="1" customWidth="1"/>
    <col min="870" max="870" width="4" bestFit="1" customWidth="1"/>
    <col min="871" max="875" width="6" bestFit="1" customWidth="1"/>
    <col min="876" max="876" width="4" bestFit="1" customWidth="1"/>
    <col min="877" max="878" width="6" bestFit="1" customWidth="1"/>
    <col min="879" max="879" width="4" bestFit="1" customWidth="1"/>
    <col min="880" max="883" width="6" bestFit="1" customWidth="1"/>
    <col min="884" max="884" width="4" bestFit="1" customWidth="1"/>
    <col min="885" max="885" width="6" bestFit="1" customWidth="1"/>
    <col min="886" max="886" width="4" bestFit="1" customWidth="1"/>
    <col min="887" max="889" width="6" bestFit="1" customWidth="1"/>
    <col min="890" max="890" width="4" bestFit="1" customWidth="1"/>
    <col min="891" max="896" width="6" bestFit="1" customWidth="1"/>
    <col min="897" max="898" width="4" bestFit="1" customWidth="1"/>
    <col min="899" max="903" width="6" bestFit="1" customWidth="1"/>
    <col min="904" max="904" width="4" bestFit="1" customWidth="1"/>
    <col min="905" max="909" width="6" bestFit="1" customWidth="1"/>
    <col min="910" max="910" width="4" bestFit="1" customWidth="1"/>
    <col min="911" max="913" width="6" bestFit="1" customWidth="1"/>
    <col min="914" max="914" width="4" bestFit="1" customWidth="1"/>
    <col min="915" max="931" width="6" bestFit="1" customWidth="1"/>
    <col min="932" max="933" width="4" bestFit="1" customWidth="1"/>
    <col min="934" max="934" width="6" bestFit="1" customWidth="1"/>
    <col min="935" max="935" width="4" bestFit="1" customWidth="1"/>
    <col min="936" max="943" width="6" bestFit="1" customWidth="1"/>
    <col min="944" max="944" width="4" bestFit="1" customWidth="1"/>
    <col min="945" max="951" width="6" bestFit="1" customWidth="1"/>
    <col min="952" max="952" width="4" bestFit="1" customWidth="1"/>
    <col min="953" max="953" width="6" bestFit="1" customWidth="1"/>
    <col min="954" max="954" width="4" bestFit="1" customWidth="1"/>
    <col min="955" max="961" width="6" bestFit="1" customWidth="1"/>
    <col min="962" max="962" width="4" bestFit="1" customWidth="1"/>
    <col min="963" max="969" width="6" bestFit="1" customWidth="1"/>
    <col min="970" max="970" width="4" bestFit="1" customWidth="1"/>
    <col min="971" max="974" width="6" bestFit="1" customWidth="1"/>
    <col min="975" max="975" width="4" bestFit="1" customWidth="1"/>
    <col min="976" max="987" width="6" bestFit="1" customWidth="1"/>
    <col min="988" max="988" width="4" bestFit="1" customWidth="1"/>
    <col min="989" max="990" width="6" bestFit="1" customWidth="1"/>
    <col min="991" max="991" width="4" bestFit="1" customWidth="1"/>
    <col min="992" max="996" width="6" bestFit="1" customWidth="1"/>
    <col min="997" max="997" width="4" bestFit="1" customWidth="1"/>
    <col min="998" max="999" width="6" bestFit="1" customWidth="1"/>
    <col min="1000" max="1000" width="4" bestFit="1" customWidth="1"/>
    <col min="1001" max="1001" width="6" bestFit="1" customWidth="1"/>
    <col min="1002" max="1002" width="4" bestFit="1" customWidth="1"/>
    <col min="1003" max="1007" width="6" bestFit="1" customWidth="1"/>
    <col min="1008" max="1008" width="4" bestFit="1" customWidth="1"/>
    <col min="1009" max="1013" width="6" bestFit="1" customWidth="1"/>
    <col min="1014" max="1014" width="4" bestFit="1" customWidth="1"/>
    <col min="1015" max="1017" width="6" bestFit="1" customWidth="1"/>
    <col min="1018" max="1018" width="4" bestFit="1" customWidth="1"/>
    <col min="1019" max="1022" width="6" bestFit="1" customWidth="1"/>
    <col min="1023" max="1023" width="4" bestFit="1" customWidth="1"/>
    <col min="1024" max="1031" width="6" bestFit="1" customWidth="1"/>
    <col min="1032" max="1032" width="4" bestFit="1" customWidth="1"/>
    <col min="1033" max="1035" width="6" bestFit="1" customWidth="1"/>
    <col min="1036" max="1036" width="4" bestFit="1" customWidth="1"/>
    <col min="1037" max="1037" width="6" bestFit="1" customWidth="1"/>
    <col min="1038" max="1038" width="4" bestFit="1" customWidth="1"/>
    <col min="1039" max="1044" width="6" bestFit="1" customWidth="1"/>
    <col min="1045" max="1045" width="4" bestFit="1" customWidth="1"/>
    <col min="1046" max="1046" width="6" bestFit="1" customWidth="1"/>
    <col min="1047" max="1047" width="4" bestFit="1" customWidth="1"/>
    <col min="1048" max="1054" width="6" bestFit="1" customWidth="1"/>
    <col min="1055" max="1055" width="4" bestFit="1" customWidth="1"/>
    <col min="1056" max="1056" width="6" bestFit="1" customWidth="1"/>
    <col min="1057" max="1057" width="4" bestFit="1" customWidth="1"/>
    <col min="1058" max="1059" width="6" bestFit="1" customWidth="1"/>
    <col min="1060" max="1060" width="4" bestFit="1" customWidth="1"/>
    <col min="1061" max="1061" width="6" bestFit="1" customWidth="1"/>
    <col min="1062" max="1062" width="4" bestFit="1" customWidth="1"/>
    <col min="1063" max="1065" width="6" bestFit="1" customWidth="1"/>
    <col min="1066" max="1066" width="4" bestFit="1" customWidth="1"/>
    <col min="1067" max="1067" width="6" bestFit="1" customWidth="1"/>
    <col min="1068" max="1068" width="4" bestFit="1" customWidth="1"/>
    <col min="1069" max="1070" width="6" bestFit="1" customWidth="1"/>
    <col min="1071" max="1072" width="4" bestFit="1" customWidth="1"/>
    <col min="1073" max="1074" width="6" bestFit="1" customWidth="1"/>
    <col min="1075" max="1075" width="4" bestFit="1" customWidth="1"/>
    <col min="1076" max="1087" width="6" bestFit="1" customWidth="1"/>
    <col min="1088" max="1088" width="4" bestFit="1" customWidth="1"/>
    <col min="1089" max="1090" width="6" bestFit="1" customWidth="1"/>
    <col min="1091" max="1091" width="4" bestFit="1" customWidth="1"/>
    <col min="1092" max="1099" width="6" bestFit="1" customWidth="1"/>
    <col min="1100" max="1100" width="4" bestFit="1" customWidth="1"/>
    <col min="1101" max="1106" width="6" bestFit="1" customWidth="1"/>
    <col min="1107" max="1107" width="4" bestFit="1" customWidth="1"/>
    <col min="1108" max="1109" width="6" bestFit="1" customWidth="1"/>
    <col min="1110" max="1110" width="4" bestFit="1" customWidth="1"/>
    <col min="1111" max="1125" width="6" bestFit="1" customWidth="1"/>
    <col min="1126" max="1126" width="4" bestFit="1" customWidth="1"/>
    <col min="1127" max="1128" width="6" bestFit="1" customWidth="1"/>
    <col min="1129" max="1129" width="4" bestFit="1" customWidth="1"/>
    <col min="1130" max="1135" width="6" bestFit="1" customWidth="1"/>
    <col min="1136" max="1136" width="4" bestFit="1" customWidth="1"/>
    <col min="1137" max="1140" width="6" bestFit="1" customWidth="1"/>
    <col min="1141" max="1141" width="4" bestFit="1" customWidth="1"/>
    <col min="1142" max="1142" width="6" bestFit="1" customWidth="1"/>
    <col min="1143" max="1143" width="4" bestFit="1" customWidth="1"/>
    <col min="1144" max="1149" width="6" bestFit="1" customWidth="1"/>
    <col min="1150" max="1150" width="4" bestFit="1" customWidth="1"/>
    <col min="1151" max="1161" width="6" bestFit="1" customWidth="1"/>
    <col min="1162" max="1162" width="4" bestFit="1" customWidth="1"/>
    <col min="1163" max="1163" width="6" bestFit="1" customWidth="1"/>
    <col min="1164" max="1164" width="4" bestFit="1" customWidth="1"/>
    <col min="1165" max="1171" width="6" bestFit="1" customWidth="1"/>
    <col min="1172" max="1172" width="4" bestFit="1" customWidth="1"/>
    <col min="1173" max="1174" width="6" bestFit="1" customWidth="1"/>
    <col min="1175" max="1176" width="4" bestFit="1" customWidth="1"/>
    <col min="1177" max="1178" width="6" bestFit="1" customWidth="1"/>
    <col min="1179" max="1179" width="4" bestFit="1" customWidth="1"/>
    <col min="1180" max="1190" width="6" bestFit="1" customWidth="1"/>
    <col min="1191" max="1191" width="4" bestFit="1" customWidth="1"/>
    <col min="1192" max="1193" width="6" bestFit="1" customWidth="1"/>
    <col min="1194" max="1194" width="4" bestFit="1" customWidth="1"/>
    <col min="1195" max="1197" width="6" bestFit="1" customWidth="1"/>
    <col min="1198" max="1198" width="4" bestFit="1" customWidth="1"/>
    <col min="1199" max="1200" width="6" bestFit="1" customWidth="1"/>
    <col min="1201" max="1201" width="4" bestFit="1" customWidth="1"/>
    <col min="1202" max="1204" width="6" bestFit="1" customWidth="1"/>
    <col min="1205" max="1205" width="4" bestFit="1" customWidth="1"/>
    <col min="1206" max="1206" width="6" bestFit="1" customWidth="1"/>
    <col min="1207" max="1207" width="4" bestFit="1" customWidth="1"/>
    <col min="1208" max="1209" width="6" bestFit="1" customWidth="1"/>
    <col min="1210" max="1210" width="4" bestFit="1" customWidth="1"/>
    <col min="1211" max="1214" width="6" bestFit="1" customWidth="1"/>
    <col min="1215" max="1215" width="4" bestFit="1" customWidth="1"/>
    <col min="1216" max="1219" width="6" bestFit="1" customWidth="1"/>
    <col min="1220" max="1220" width="4" bestFit="1" customWidth="1"/>
    <col min="1221" max="1224" width="6" bestFit="1" customWidth="1"/>
    <col min="1225" max="1225" width="4" bestFit="1" customWidth="1"/>
    <col min="1226" max="1228" width="6" bestFit="1" customWidth="1"/>
    <col min="1229" max="1229" width="4" bestFit="1" customWidth="1"/>
    <col min="1230" max="1231" width="6" bestFit="1" customWidth="1"/>
    <col min="1232" max="1232" width="4" bestFit="1" customWidth="1"/>
    <col min="1233" max="1238" width="6" bestFit="1" customWidth="1"/>
    <col min="1239" max="1239" width="4" bestFit="1" customWidth="1"/>
    <col min="1240" max="1245" width="6" bestFit="1" customWidth="1"/>
    <col min="1246" max="1246" width="4" bestFit="1" customWidth="1"/>
    <col min="1247" max="1250" width="6" bestFit="1" customWidth="1"/>
    <col min="1251" max="1251" width="4" bestFit="1" customWidth="1"/>
    <col min="1252" max="1254" width="6" bestFit="1" customWidth="1"/>
    <col min="1255" max="1255" width="4" bestFit="1" customWidth="1"/>
    <col min="1256" max="1257" width="6" bestFit="1" customWidth="1"/>
    <col min="1258" max="1258" width="4" bestFit="1" customWidth="1"/>
    <col min="1259" max="1259" width="6" bestFit="1" customWidth="1"/>
    <col min="1260" max="1260" width="4" bestFit="1" customWidth="1"/>
    <col min="1261" max="1261" width="6" bestFit="1" customWidth="1"/>
    <col min="1262" max="1262" width="4" bestFit="1" customWidth="1"/>
    <col min="1263" max="1266" width="6" bestFit="1" customWidth="1"/>
    <col min="1267" max="1267" width="4" bestFit="1" customWidth="1"/>
    <col min="1268" max="1277" width="6" bestFit="1" customWidth="1"/>
    <col min="1278" max="1278" width="4" bestFit="1" customWidth="1"/>
    <col min="1279" max="1285" width="6" bestFit="1" customWidth="1"/>
    <col min="1286" max="1286" width="4" bestFit="1" customWidth="1"/>
    <col min="1287" max="1290" width="6" bestFit="1" customWidth="1"/>
    <col min="1291" max="1291" width="4" bestFit="1" customWidth="1"/>
    <col min="1292" max="1293" width="6" bestFit="1" customWidth="1"/>
    <col min="1294" max="1295" width="4" bestFit="1" customWidth="1"/>
    <col min="1296" max="1297" width="6" bestFit="1" customWidth="1"/>
    <col min="1298" max="1298" width="4" bestFit="1" customWidth="1"/>
    <col min="1299" max="1300" width="6" bestFit="1" customWidth="1"/>
    <col min="1301" max="1301" width="4" bestFit="1" customWidth="1"/>
    <col min="1302" max="1305" width="6" bestFit="1" customWidth="1"/>
    <col min="1306" max="1306" width="4" bestFit="1" customWidth="1"/>
    <col min="1307" max="1312" width="6" bestFit="1" customWidth="1"/>
    <col min="1313" max="1313" width="4" bestFit="1" customWidth="1"/>
    <col min="1314" max="1315" width="6" bestFit="1" customWidth="1"/>
    <col min="1316" max="1316" width="4" bestFit="1" customWidth="1"/>
    <col min="1317" max="1322" width="6" bestFit="1" customWidth="1"/>
    <col min="1323" max="1323" width="4" bestFit="1" customWidth="1"/>
    <col min="1324" max="1327" width="6" bestFit="1" customWidth="1"/>
    <col min="1328" max="1328" width="4" bestFit="1" customWidth="1"/>
    <col min="1329" max="1330" width="6" bestFit="1" customWidth="1"/>
    <col min="1331" max="1331" width="4" bestFit="1" customWidth="1"/>
    <col min="1332" max="1332" width="6" bestFit="1" customWidth="1"/>
    <col min="1333" max="1334" width="4" bestFit="1" customWidth="1"/>
    <col min="1335" max="1335" width="6" bestFit="1" customWidth="1"/>
    <col min="1336" max="1337" width="4" bestFit="1" customWidth="1"/>
    <col min="1338" max="1344" width="6" bestFit="1" customWidth="1"/>
    <col min="1345" max="1345" width="4" bestFit="1" customWidth="1"/>
    <col min="1346" max="1346" width="6" bestFit="1" customWidth="1"/>
    <col min="1347" max="1347" width="4" bestFit="1" customWidth="1"/>
    <col min="1348" max="1350" width="6" bestFit="1" customWidth="1"/>
    <col min="1351" max="1351" width="4" bestFit="1" customWidth="1"/>
    <col min="1352" max="1352" width="6" bestFit="1" customWidth="1"/>
    <col min="1353" max="1353" width="4" bestFit="1" customWidth="1"/>
    <col min="1354" max="1355" width="6" bestFit="1" customWidth="1"/>
    <col min="1356" max="1356" width="4" bestFit="1" customWidth="1"/>
    <col min="1357" max="1360" width="6" bestFit="1" customWidth="1"/>
    <col min="1361" max="1361" width="4" bestFit="1" customWidth="1"/>
    <col min="1362" max="1368" width="6" bestFit="1" customWidth="1"/>
    <col min="1369" max="1369" width="4" bestFit="1" customWidth="1"/>
    <col min="1370" max="1374" width="6" bestFit="1" customWidth="1"/>
    <col min="1375" max="1375" width="4" bestFit="1" customWidth="1"/>
    <col min="1376" max="1382" width="6" bestFit="1" customWidth="1"/>
    <col min="1383" max="1383" width="4" bestFit="1" customWidth="1"/>
    <col min="1384" max="1386" width="6" bestFit="1" customWidth="1"/>
    <col min="1387" max="1387" width="4" bestFit="1" customWidth="1"/>
    <col min="1388" max="1390" width="6" bestFit="1" customWidth="1"/>
    <col min="1391" max="1391" width="4" bestFit="1" customWidth="1"/>
    <col min="1392" max="1396" width="6" bestFit="1" customWidth="1"/>
    <col min="1397" max="1397" width="4" bestFit="1" customWidth="1"/>
    <col min="1398" max="1404" width="6" bestFit="1" customWidth="1"/>
    <col min="1405" max="1405" width="4" bestFit="1" customWidth="1"/>
    <col min="1406" max="1406" width="6" bestFit="1" customWidth="1"/>
    <col min="1407" max="1407" width="4" bestFit="1" customWidth="1"/>
    <col min="1408" max="1423" width="6" bestFit="1" customWidth="1"/>
    <col min="1424" max="1424" width="4" bestFit="1" customWidth="1"/>
    <col min="1425" max="1429" width="6" bestFit="1" customWidth="1"/>
    <col min="1430" max="1430" width="4" bestFit="1" customWidth="1"/>
    <col min="1431" max="1442" width="6" bestFit="1" customWidth="1"/>
    <col min="1443" max="1444" width="4" bestFit="1" customWidth="1"/>
    <col min="1445" max="1446" width="6" bestFit="1" customWidth="1"/>
    <col min="1447" max="1447" width="4" bestFit="1" customWidth="1"/>
    <col min="1448" max="1449" width="6" bestFit="1" customWidth="1"/>
    <col min="1450" max="1451" width="4" bestFit="1" customWidth="1"/>
    <col min="1452" max="1454" width="6" bestFit="1" customWidth="1"/>
    <col min="1455" max="1456" width="4" bestFit="1" customWidth="1"/>
    <col min="1457" max="1460" width="6" bestFit="1" customWidth="1"/>
    <col min="1461" max="1461" width="4" bestFit="1" customWidth="1"/>
    <col min="1462" max="1467" width="6" bestFit="1" customWidth="1"/>
    <col min="1468" max="1469" width="4" bestFit="1" customWidth="1"/>
    <col min="1470" max="1470" width="6" bestFit="1" customWidth="1"/>
    <col min="1471" max="1471" width="4" bestFit="1" customWidth="1"/>
    <col min="1472" max="1473" width="6" bestFit="1" customWidth="1"/>
    <col min="1474" max="1474" width="4" bestFit="1" customWidth="1"/>
    <col min="1475" max="1475" width="6" bestFit="1" customWidth="1"/>
    <col min="1476" max="1476" width="4" bestFit="1" customWidth="1"/>
    <col min="1477" max="1486" width="6" bestFit="1" customWidth="1"/>
    <col min="1487" max="1487" width="4" bestFit="1" customWidth="1"/>
    <col min="1488" max="1489" width="6" bestFit="1" customWidth="1"/>
    <col min="1490" max="1490" width="4" bestFit="1" customWidth="1"/>
    <col min="1491" max="1499" width="6" bestFit="1" customWidth="1"/>
    <col min="1500" max="1501" width="4" bestFit="1" customWidth="1"/>
    <col min="1502" max="1502" width="6" bestFit="1" customWidth="1"/>
    <col min="1503" max="1503" width="4" bestFit="1" customWidth="1"/>
    <col min="1504" max="1506" width="6" bestFit="1" customWidth="1"/>
    <col min="1507" max="1509" width="4" bestFit="1" customWidth="1"/>
    <col min="1510" max="1512" width="6" bestFit="1" customWidth="1"/>
    <col min="1513" max="1513" width="4" bestFit="1" customWidth="1"/>
    <col min="1514" max="1516" width="6" bestFit="1" customWidth="1"/>
    <col min="1517" max="1517" width="4" bestFit="1" customWidth="1"/>
    <col min="1518" max="1522" width="6" bestFit="1" customWidth="1"/>
    <col min="1523" max="1523" width="4" bestFit="1" customWidth="1"/>
    <col min="1524" max="1536" width="6" bestFit="1" customWidth="1"/>
    <col min="1537" max="1537" width="4" bestFit="1" customWidth="1"/>
    <col min="1538" max="1539" width="6" bestFit="1" customWidth="1"/>
    <col min="1540" max="1541" width="4" bestFit="1" customWidth="1"/>
    <col min="1542" max="1544" width="6" bestFit="1" customWidth="1"/>
    <col min="1545" max="1545" width="4" bestFit="1" customWidth="1"/>
    <col min="1546" max="1546" width="6" bestFit="1" customWidth="1"/>
    <col min="1547" max="1547" width="4" bestFit="1" customWidth="1"/>
    <col min="1548" max="1548" width="6" bestFit="1" customWidth="1"/>
    <col min="1549" max="1549" width="4" bestFit="1" customWidth="1"/>
    <col min="1550" max="1550" width="6" bestFit="1" customWidth="1"/>
    <col min="1551" max="1551" width="4" bestFit="1" customWidth="1"/>
    <col min="1552" max="1554" width="6" bestFit="1" customWidth="1"/>
    <col min="1555" max="1555" width="4" bestFit="1" customWidth="1"/>
    <col min="1556" max="1562" width="6" bestFit="1" customWidth="1"/>
    <col min="1563" max="1563" width="4" bestFit="1" customWidth="1"/>
    <col min="1564" max="1568" width="6" bestFit="1" customWidth="1"/>
    <col min="1569" max="1569" width="4" bestFit="1" customWidth="1"/>
    <col min="1570" max="1572" width="6" bestFit="1" customWidth="1"/>
    <col min="1573" max="1573" width="4" bestFit="1" customWidth="1"/>
    <col min="1574" max="1575" width="6" bestFit="1" customWidth="1"/>
    <col min="1576" max="1576" width="4" bestFit="1" customWidth="1"/>
    <col min="1577" max="1577" width="6" bestFit="1" customWidth="1"/>
    <col min="1578" max="1578" width="4" bestFit="1" customWidth="1"/>
    <col min="1579" max="1592" width="6" bestFit="1" customWidth="1"/>
    <col min="1593" max="1594" width="4" bestFit="1" customWidth="1"/>
    <col min="1595" max="1595" width="6" bestFit="1" customWidth="1"/>
    <col min="1596" max="1596" width="4" bestFit="1" customWidth="1"/>
    <col min="1597" max="1600" width="6" bestFit="1" customWidth="1"/>
    <col min="1601" max="1601" width="4" bestFit="1" customWidth="1"/>
    <col min="1602" max="1606" width="6" bestFit="1" customWidth="1"/>
    <col min="1607" max="1608" width="4" bestFit="1" customWidth="1"/>
    <col min="1609" max="1614" width="6" bestFit="1" customWidth="1"/>
    <col min="1615" max="1615" width="4" bestFit="1" customWidth="1"/>
    <col min="1616" max="1616" width="6" bestFit="1" customWidth="1"/>
    <col min="1617" max="1621" width="4" bestFit="1" customWidth="1"/>
    <col min="1622" max="1623" width="6" bestFit="1" customWidth="1"/>
    <col min="1624" max="1625" width="4" bestFit="1" customWidth="1"/>
    <col min="1626" max="1628" width="6" bestFit="1" customWidth="1"/>
    <col min="1629" max="1629" width="4" bestFit="1" customWidth="1"/>
    <col min="1630" max="1636" width="6" bestFit="1" customWidth="1"/>
    <col min="1637" max="1637" width="4" bestFit="1" customWidth="1"/>
    <col min="1638" max="1641" width="6" bestFit="1" customWidth="1"/>
    <col min="1642" max="1642" width="4" bestFit="1" customWidth="1"/>
    <col min="1643" max="1643" width="6" bestFit="1" customWidth="1"/>
    <col min="1644" max="1644" width="4" bestFit="1" customWidth="1"/>
    <col min="1645" max="1645" width="6" bestFit="1" customWidth="1"/>
    <col min="1646" max="1646" width="4" bestFit="1" customWidth="1"/>
    <col min="1647" max="1656" width="6" bestFit="1" customWidth="1"/>
    <col min="1657" max="1659" width="4" bestFit="1" customWidth="1"/>
    <col min="1660" max="1660" width="6" bestFit="1" customWidth="1"/>
    <col min="1661" max="1661" width="4" bestFit="1" customWidth="1"/>
    <col min="1662" max="1664" width="6" bestFit="1" customWidth="1"/>
    <col min="1665" max="1666" width="4" bestFit="1" customWidth="1"/>
    <col min="1667" max="1667" width="5" bestFit="1" customWidth="1"/>
    <col min="1668" max="1671" width="7" bestFit="1" customWidth="1"/>
    <col min="1672" max="1672" width="5" bestFit="1" customWidth="1"/>
    <col min="1673" max="1673" width="7" bestFit="1" customWidth="1"/>
    <col min="1674" max="1674" width="5" bestFit="1" customWidth="1"/>
    <col min="1675" max="1675" width="7" bestFit="1" customWidth="1"/>
    <col min="1676" max="1677" width="5" bestFit="1" customWidth="1"/>
    <col min="1678" max="1678" width="7" bestFit="1" customWidth="1"/>
    <col min="1679" max="1679" width="5" bestFit="1" customWidth="1"/>
    <col min="1680" max="1682" width="7" bestFit="1" customWidth="1"/>
    <col min="1683" max="1683" width="5" bestFit="1" customWidth="1"/>
    <col min="1684" max="1689" width="7" bestFit="1" customWidth="1"/>
    <col min="1690" max="1693" width="5" bestFit="1" customWidth="1"/>
    <col min="1694" max="1696" width="7" bestFit="1" customWidth="1"/>
    <col min="1697" max="1697" width="5" bestFit="1" customWidth="1"/>
    <col min="1698" max="1706" width="7" bestFit="1" customWidth="1"/>
    <col min="1707" max="1708" width="5" bestFit="1" customWidth="1"/>
    <col min="1709" max="1710" width="7" bestFit="1" customWidth="1"/>
    <col min="1711" max="1715" width="5" bestFit="1" customWidth="1"/>
    <col min="1716" max="1717" width="7" bestFit="1" customWidth="1"/>
    <col min="1718" max="1719" width="5" bestFit="1" customWidth="1"/>
    <col min="1720" max="1720" width="7" bestFit="1" customWidth="1"/>
    <col min="1721" max="1721" width="5" bestFit="1" customWidth="1"/>
    <col min="1722" max="1733" width="7" bestFit="1" customWidth="1"/>
    <col min="1734" max="1734" width="5" bestFit="1" customWidth="1"/>
    <col min="1735" max="1735" width="7" bestFit="1" customWidth="1"/>
    <col min="1736" max="1737" width="5" bestFit="1" customWidth="1"/>
    <col min="1738" max="1738" width="7" bestFit="1" customWidth="1"/>
    <col min="1739" max="1739" width="5" bestFit="1" customWidth="1"/>
    <col min="1740" max="1741" width="7" bestFit="1" customWidth="1"/>
    <col min="1742" max="1742" width="5" bestFit="1" customWidth="1"/>
    <col min="1743" max="1744" width="7" bestFit="1" customWidth="1"/>
    <col min="1745" max="1751" width="5" bestFit="1" customWidth="1"/>
    <col min="1752" max="1753" width="7" bestFit="1" customWidth="1"/>
    <col min="1754" max="1754" width="5" bestFit="1" customWidth="1"/>
    <col min="1755" max="1756" width="7" bestFit="1" customWidth="1"/>
    <col min="1757" max="1757" width="5" bestFit="1" customWidth="1"/>
    <col min="1758" max="1763" width="7" bestFit="1" customWidth="1"/>
    <col min="1764" max="1764" width="5" bestFit="1" customWidth="1"/>
    <col min="1765" max="1765" width="7" bestFit="1" customWidth="1"/>
    <col min="1766" max="1766" width="10.5546875" bestFit="1" customWidth="1"/>
  </cols>
  <sheetData>
    <row r="3" spans="1:15" x14ac:dyDescent="0.3">
      <c r="A3" s="14" t="s">
        <v>10</v>
      </c>
      <c r="B3" s="14" t="s">
        <v>11</v>
      </c>
      <c r="C3" t="s">
        <v>2554</v>
      </c>
      <c r="D3" t="s">
        <v>2553</v>
      </c>
      <c r="G3" t="s">
        <v>10</v>
      </c>
      <c r="H3" t="s">
        <v>11</v>
      </c>
      <c r="I3" t="s">
        <v>2553</v>
      </c>
      <c r="M3" t="s">
        <v>10</v>
      </c>
      <c r="N3" t="s">
        <v>11</v>
      </c>
      <c r="O3" t="s">
        <v>2554</v>
      </c>
    </row>
    <row r="4" spans="1:15" x14ac:dyDescent="0.3">
      <c r="A4" t="s">
        <v>19</v>
      </c>
      <c r="B4" t="s">
        <v>115</v>
      </c>
      <c r="C4">
        <v>31884.999999999996</v>
      </c>
      <c r="D4">
        <v>579</v>
      </c>
      <c r="G4" t="s">
        <v>19</v>
      </c>
      <c r="H4" t="s">
        <v>115</v>
      </c>
      <c r="I4">
        <f>IFERROR(GETPIVOTDATA("Sum of Quantity", $A$4, "County", B4), 0)</f>
        <v>579</v>
      </c>
      <c r="M4" t="s">
        <v>19</v>
      </c>
      <c r="N4" t="s">
        <v>115</v>
      </c>
      <c r="O4">
        <f>IFERROR(GETPIVOTDATA("Sum of Amount", $A$4, "County", B4), 0)</f>
        <v>31884.999999999996</v>
      </c>
    </row>
    <row r="5" spans="1:15" x14ac:dyDescent="0.3">
      <c r="A5" t="s">
        <v>19</v>
      </c>
      <c r="B5" t="s">
        <v>20</v>
      </c>
      <c r="C5">
        <v>10.9</v>
      </c>
      <c r="D5">
        <v>1</v>
      </c>
      <c r="G5" t="s">
        <v>19</v>
      </c>
      <c r="H5" t="s">
        <v>20</v>
      </c>
      <c r="I5">
        <f t="shared" ref="I5:I61" si="0">IFERROR(GETPIVOTDATA("Sum of Quantity", $A$4, "County", B5), 0)</f>
        <v>1</v>
      </c>
      <c r="M5" t="s">
        <v>19</v>
      </c>
      <c r="N5" t="s">
        <v>20</v>
      </c>
      <c r="O5">
        <f t="shared" ref="O5:O61" si="1">IFERROR(GETPIVOTDATA("Sum of Amount", $A$4, "County", B5), 0)</f>
        <v>10.9</v>
      </c>
    </row>
    <row r="6" spans="1:15" x14ac:dyDescent="0.3">
      <c r="A6" t="s">
        <v>19</v>
      </c>
      <c r="B6" t="s">
        <v>641</v>
      </c>
      <c r="C6">
        <v>800.3</v>
      </c>
      <c r="D6">
        <v>9</v>
      </c>
      <c r="G6" t="s">
        <v>19</v>
      </c>
      <c r="H6" t="s">
        <v>641</v>
      </c>
      <c r="I6">
        <f t="shared" si="0"/>
        <v>9</v>
      </c>
      <c r="M6" t="s">
        <v>19</v>
      </c>
      <c r="N6" t="s">
        <v>641</v>
      </c>
      <c r="O6">
        <f t="shared" si="1"/>
        <v>800.3</v>
      </c>
    </row>
    <row r="7" spans="1:15" x14ac:dyDescent="0.3">
      <c r="A7" t="s">
        <v>19</v>
      </c>
      <c r="B7" t="s">
        <v>967</v>
      </c>
      <c r="C7">
        <v>1062.5999999999999</v>
      </c>
      <c r="D7">
        <v>35</v>
      </c>
      <c r="G7" t="s">
        <v>19</v>
      </c>
      <c r="H7" t="s">
        <v>967</v>
      </c>
      <c r="I7">
        <f t="shared" si="0"/>
        <v>35</v>
      </c>
      <c r="M7" t="s">
        <v>19</v>
      </c>
      <c r="N7" t="s">
        <v>967</v>
      </c>
      <c r="O7">
        <f t="shared" si="1"/>
        <v>1062.5999999999999</v>
      </c>
    </row>
    <row r="8" spans="1:15" x14ac:dyDescent="0.3">
      <c r="A8" t="s">
        <v>19</v>
      </c>
      <c r="B8" t="s">
        <v>84</v>
      </c>
      <c r="C8">
        <v>326.20000000000005</v>
      </c>
      <c r="D8">
        <v>12</v>
      </c>
      <c r="G8" t="s">
        <v>19</v>
      </c>
      <c r="H8" t="s">
        <v>84</v>
      </c>
      <c r="I8">
        <f t="shared" si="0"/>
        <v>12</v>
      </c>
      <c r="M8" t="s">
        <v>19</v>
      </c>
      <c r="N8" t="s">
        <v>84</v>
      </c>
      <c r="O8">
        <f t="shared" si="1"/>
        <v>326.20000000000005</v>
      </c>
    </row>
    <row r="9" spans="1:15" x14ac:dyDescent="0.3">
      <c r="A9" t="s">
        <v>19</v>
      </c>
      <c r="B9" t="s">
        <v>1383</v>
      </c>
      <c r="C9">
        <v>167.5</v>
      </c>
      <c r="D9">
        <v>4</v>
      </c>
      <c r="G9" t="s">
        <v>19</v>
      </c>
      <c r="H9" t="s">
        <v>1383</v>
      </c>
      <c r="I9">
        <f t="shared" si="0"/>
        <v>4</v>
      </c>
      <c r="M9" t="s">
        <v>19</v>
      </c>
      <c r="N9" t="s">
        <v>1383</v>
      </c>
      <c r="O9">
        <f t="shared" si="1"/>
        <v>167.5</v>
      </c>
    </row>
    <row r="10" spans="1:15" x14ac:dyDescent="0.3">
      <c r="A10" t="s">
        <v>19</v>
      </c>
      <c r="B10" t="s">
        <v>24</v>
      </c>
      <c r="C10">
        <v>16168.7</v>
      </c>
      <c r="D10">
        <v>341</v>
      </c>
      <c r="G10" t="s">
        <v>19</v>
      </c>
      <c r="H10" t="s">
        <v>24</v>
      </c>
      <c r="I10">
        <f t="shared" si="0"/>
        <v>341</v>
      </c>
      <c r="M10" t="s">
        <v>19</v>
      </c>
      <c r="N10" t="s">
        <v>24</v>
      </c>
      <c r="O10">
        <f t="shared" si="1"/>
        <v>16168.7</v>
      </c>
    </row>
    <row r="11" spans="1:15" x14ac:dyDescent="0.3">
      <c r="A11" t="s">
        <v>19</v>
      </c>
      <c r="B11" t="s">
        <v>2204</v>
      </c>
      <c r="C11">
        <v>322.40000000000003</v>
      </c>
      <c r="D11">
        <v>13</v>
      </c>
      <c r="G11" t="s">
        <v>19</v>
      </c>
      <c r="H11" t="s">
        <v>2204</v>
      </c>
      <c r="I11">
        <f t="shared" si="0"/>
        <v>13</v>
      </c>
      <c r="M11" t="s">
        <v>19</v>
      </c>
      <c r="N11" t="s">
        <v>2204</v>
      </c>
      <c r="O11">
        <f t="shared" si="1"/>
        <v>322.40000000000003</v>
      </c>
    </row>
    <row r="12" spans="1:15" x14ac:dyDescent="0.3">
      <c r="A12" t="s">
        <v>19</v>
      </c>
      <c r="B12" t="s">
        <v>437</v>
      </c>
      <c r="C12">
        <v>2092.8000000000002</v>
      </c>
      <c r="D12">
        <v>31</v>
      </c>
      <c r="G12" t="s">
        <v>19</v>
      </c>
      <c r="H12" t="s">
        <v>437</v>
      </c>
      <c r="I12">
        <f t="shared" si="0"/>
        <v>31</v>
      </c>
      <c r="M12" t="s">
        <v>19</v>
      </c>
      <c r="N12" t="s">
        <v>437</v>
      </c>
      <c r="O12">
        <f t="shared" si="1"/>
        <v>2092.8000000000002</v>
      </c>
    </row>
    <row r="13" spans="1:15" x14ac:dyDescent="0.3">
      <c r="A13" t="s">
        <v>19</v>
      </c>
      <c r="B13" t="s">
        <v>28</v>
      </c>
      <c r="C13">
        <v>12662.500000000002</v>
      </c>
      <c r="D13">
        <v>279</v>
      </c>
      <c r="G13" t="s">
        <v>19</v>
      </c>
      <c r="H13" t="s">
        <v>28</v>
      </c>
      <c r="I13">
        <f t="shared" si="0"/>
        <v>279</v>
      </c>
      <c r="M13" t="s">
        <v>19</v>
      </c>
      <c r="N13" t="s">
        <v>28</v>
      </c>
      <c r="O13">
        <f t="shared" si="1"/>
        <v>12662.500000000002</v>
      </c>
    </row>
    <row r="14" spans="1:15" x14ac:dyDescent="0.3">
      <c r="A14" t="s">
        <v>19</v>
      </c>
      <c r="B14" t="s">
        <v>208</v>
      </c>
      <c r="C14">
        <v>343.2</v>
      </c>
      <c r="D14">
        <v>9</v>
      </c>
      <c r="G14" t="s">
        <v>19</v>
      </c>
      <c r="H14" t="s">
        <v>208</v>
      </c>
      <c r="I14">
        <f t="shared" si="0"/>
        <v>9</v>
      </c>
      <c r="M14" t="s">
        <v>19</v>
      </c>
      <c r="N14" t="s">
        <v>208</v>
      </c>
      <c r="O14">
        <f t="shared" si="1"/>
        <v>343.2</v>
      </c>
    </row>
    <row r="15" spans="1:15" x14ac:dyDescent="0.3">
      <c r="A15" t="s">
        <v>19</v>
      </c>
      <c r="B15" t="s">
        <v>587</v>
      </c>
      <c r="C15">
        <v>2188.2999999999997</v>
      </c>
      <c r="D15">
        <v>49</v>
      </c>
      <c r="G15" t="s">
        <v>19</v>
      </c>
      <c r="H15" t="s">
        <v>587</v>
      </c>
      <c r="I15">
        <f t="shared" si="0"/>
        <v>49</v>
      </c>
      <c r="M15" t="s">
        <v>19</v>
      </c>
      <c r="N15" t="s">
        <v>587</v>
      </c>
      <c r="O15">
        <f t="shared" si="1"/>
        <v>2188.2999999999997</v>
      </c>
    </row>
    <row r="16" spans="1:15" x14ac:dyDescent="0.3">
      <c r="A16" t="s">
        <v>19</v>
      </c>
      <c r="B16" t="s">
        <v>331</v>
      </c>
      <c r="C16">
        <v>2661.5999999999995</v>
      </c>
      <c r="D16">
        <v>59</v>
      </c>
      <c r="G16" t="s">
        <v>19</v>
      </c>
      <c r="H16" t="s">
        <v>331</v>
      </c>
      <c r="I16">
        <f t="shared" si="0"/>
        <v>59</v>
      </c>
      <c r="M16" t="s">
        <v>19</v>
      </c>
      <c r="N16" t="s">
        <v>331</v>
      </c>
      <c r="O16">
        <f t="shared" si="1"/>
        <v>2661.5999999999995</v>
      </c>
    </row>
    <row r="17" spans="1:15" x14ac:dyDescent="0.3">
      <c r="A17" t="s">
        <v>19</v>
      </c>
      <c r="B17" t="s">
        <v>86</v>
      </c>
      <c r="C17">
        <v>887.5</v>
      </c>
      <c r="D17">
        <v>8</v>
      </c>
      <c r="G17" t="s">
        <v>19</v>
      </c>
      <c r="H17" t="s">
        <v>86</v>
      </c>
      <c r="I17">
        <f t="shared" si="0"/>
        <v>8</v>
      </c>
      <c r="M17" t="s">
        <v>19</v>
      </c>
      <c r="N17" t="s">
        <v>86</v>
      </c>
      <c r="O17">
        <f t="shared" si="1"/>
        <v>887.5</v>
      </c>
    </row>
    <row r="18" spans="1:15" x14ac:dyDescent="0.3">
      <c r="A18" t="s">
        <v>19</v>
      </c>
      <c r="B18" t="s">
        <v>147</v>
      </c>
      <c r="C18">
        <v>11354.199999999993</v>
      </c>
      <c r="D18">
        <v>222</v>
      </c>
      <c r="G18" t="s">
        <v>19</v>
      </c>
      <c r="H18" t="s">
        <v>147</v>
      </c>
      <c r="I18">
        <f t="shared" si="0"/>
        <v>222</v>
      </c>
      <c r="M18" t="s">
        <v>19</v>
      </c>
      <c r="N18" t="s">
        <v>147</v>
      </c>
      <c r="O18">
        <f t="shared" si="1"/>
        <v>11354.199999999993</v>
      </c>
    </row>
    <row r="19" spans="1:15" x14ac:dyDescent="0.3">
      <c r="A19" t="s">
        <v>19</v>
      </c>
      <c r="B19" t="s">
        <v>334</v>
      </c>
      <c r="C19">
        <v>1558.4</v>
      </c>
      <c r="D19">
        <v>36</v>
      </c>
      <c r="G19" t="s">
        <v>19</v>
      </c>
      <c r="H19" t="s">
        <v>334</v>
      </c>
      <c r="I19">
        <f t="shared" si="0"/>
        <v>36</v>
      </c>
      <c r="M19" t="s">
        <v>19</v>
      </c>
      <c r="N19" t="s">
        <v>334</v>
      </c>
      <c r="O19">
        <f t="shared" si="1"/>
        <v>1558.4</v>
      </c>
    </row>
    <row r="20" spans="1:15" x14ac:dyDescent="0.3">
      <c r="A20" t="s">
        <v>19</v>
      </c>
      <c r="B20" t="s">
        <v>949</v>
      </c>
      <c r="C20">
        <v>2223.9</v>
      </c>
      <c r="D20">
        <v>30</v>
      </c>
      <c r="G20" t="s">
        <v>19</v>
      </c>
      <c r="H20" t="s">
        <v>949</v>
      </c>
      <c r="I20">
        <f t="shared" si="0"/>
        <v>30</v>
      </c>
      <c r="M20" t="s">
        <v>19</v>
      </c>
      <c r="N20" t="s">
        <v>949</v>
      </c>
      <c r="O20">
        <f t="shared" si="1"/>
        <v>2223.9</v>
      </c>
    </row>
    <row r="21" spans="1:15" x14ac:dyDescent="0.3">
      <c r="A21" t="s">
        <v>19</v>
      </c>
      <c r="B21" t="s">
        <v>1426</v>
      </c>
      <c r="C21">
        <v>26.2</v>
      </c>
      <c r="D21">
        <v>1</v>
      </c>
      <c r="G21" t="s">
        <v>19</v>
      </c>
      <c r="H21" t="s">
        <v>1426</v>
      </c>
      <c r="I21">
        <f t="shared" si="0"/>
        <v>1</v>
      </c>
      <c r="M21" t="s">
        <v>19</v>
      </c>
      <c r="N21" t="s">
        <v>1426</v>
      </c>
      <c r="O21">
        <f t="shared" si="1"/>
        <v>26.2</v>
      </c>
    </row>
    <row r="22" spans="1:15" x14ac:dyDescent="0.3">
      <c r="A22" t="s">
        <v>19</v>
      </c>
      <c r="B22" t="s">
        <v>33</v>
      </c>
      <c r="C22">
        <v>215551.19999999981</v>
      </c>
      <c r="D22">
        <v>3991</v>
      </c>
      <c r="G22" t="s">
        <v>19</v>
      </c>
      <c r="H22" t="s">
        <v>33</v>
      </c>
      <c r="I22">
        <f t="shared" si="0"/>
        <v>3991</v>
      </c>
      <c r="M22" t="s">
        <v>19</v>
      </c>
      <c r="N22" t="s">
        <v>33</v>
      </c>
      <c r="O22">
        <f t="shared" si="1"/>
        <v>215551.19999999981</v>
      </c>
    </row>
    <row r="23" spans="1:15" x14ac:dyDescent="0.3">
      <c r="A23" t="s">
        <v>19</v>
      </c>
      <c r="B23" t="s">
        <v>364</v>
      </c>
      <c r="C23">
        <v>2687.3999999999996</v>
      </c>
      <c r="D23">
        <v>45</v>
      </c>
      <c r="G23" t="s">
        <v>19</v>
      </c>
      <c r="H23" t="s">
        <v>364</v>
      </c>
      <c r="I23">
        <f t="shared" si="0"/>
        <v>45</v>
      </c>
      <c r="M23" t="s">
        <v>19</v>
      </c>
      <c r="N23" t="s">
        <v>364</v>
      </c>
      <c r="O23">
        <f t="shared" si="1"/>
        <v>2687.3999999999996</v>
      </c>
    </row>
    <row r="24" spans="1:15" x14ac:dyDescent="0.3">
      <c r="A24" t="s">
        <v>19</v>
      </c>
      <c r="B24" t="s">
        <v>545</v>
      </c>
      <c r="C24">
        <v>1463.3000000000002</v>
      </c>
      <c r="D24">
        <v>39</v>
      </c>
      <c r="G24" t="s">
        <v>19</v>
      </c>
      <c r="H24" t="s">
        <v>545</v>
      </c>
      <c r="I24">
        <f t="shared" si="0"/>
        <v>39</v>
      </c>
      <c r="M24" t="s">
        <v>19</v>
      </c>
      <c r="N24" t="s">
        <v>545</v>
      </c>
      <c r="O24">
        <f t="shared" si="1"/>
        <v>1463.3000000000002</v>
      </c>
    </row>
    <row r="25" spans="1:15" x14ac:dyDescent="0.3">
      <c r="A25" t="s">
        <v>19</v>
      </c>
      <c r="B25" t="s">
        <v>416</v>
      </c>
      <c r="C25">
        <v>445.79999999999995</v>
      </c>
      <c r="D25">
        <v>6</v>
      </c>
      <c r="G25" t="s">
        <v>19</v>
      </c>
      <c r="H25" t="s">
        <v>416</v>
      </c>
      <c r="I25">
        <f t="shared" si="0"/>
        <v>6</v>
      </c>
      <c r="M25" t="s">
        <v>19</v>
      </c>
      <c r="N25" t="s">
        <v>416</v>
      </c>
      <c r="O25">
        <f t="shared" si="1"/>
        <v>445.79999999999995</v>
      </c>
    </row>
    <row r="26" spans="1:15" x14ac:dyDescent="0.3">
      <c r="A26" t="s">
        <v>19</v>
      </c>
      <c r="B26" t="s">
        <v>258</v>
      </c>
      <c r="C26">
        <v>273.59999999999997</v>
      </c>
      <c r="D26">
        <v>9</v>
      </c>
      <c r="G26" t="s">
        <v>19</v>
      </c>
      <c r="H26" t="s">
        <v>258</v>
      </c>
      <c r="I26">
        <f t="shared" si="0"/>
        <v>9</v>
      </c>
      <c r="M26" t="s">
        <v>19</v>
      </c>
      <c r="N26" t="s">
        <v>258</v>
      </c>
      <c r="O26">
        <f t="shared" si="1"/>
        <v>273.59999999999997</v>
      </c>
    </row>
    <row r="27" spans="1:15" x14ac:dyDescent="0.3">
      <c r="A27" t="s">
        <v>19</v>
      </c>
      <c r="B27" t="s">
        <v>186</v>
      </c>
      <c r="C27">
        <v>2690.4</v>
      </c>
      <c r="D27">
        <v>60</v>
      </c>
      <c r="G27" t="s">
        <v>19</v>
      </c>
      <c r="H27" t="s">
        <v>186</v>
      </c>
      <c r="I27">
        <f t="shared" si="0"/>
        <v>60</v>
      </c>
      <c r="M27" t="s">
        <v>19</v>
      </c>
      <c r="N27" t="s">
        <v>186</v>
      </c>
      <c r="O27">
        <f t="shared" si="1"/>
        <v>2690.4</v>
      </c>
    </row>
    <row r="28" spans="1:15" x14ac:dyDescent="0.3">
      <c r="A28" t="s">
        <v>19</v>
      </c>
      <c r="B28" t="s">
        <v>392</v>
      </c>
      <c r="C28">
        <v>28.4</v>
      </c>
      <c r="D28">
        <v>2</v>
      </c>
      <c r="G28" t="s">
        <v>19</v>
      </c>
      <c r="H28" t="s">
        <v>392</v>
      </c>
      <c r="I28">
        <f t="shared" si="0"/>
        <v>2</v>
      </c>
      <c r="M28" t="s">
        <v>19</v>
      </c>
      <c r="N28" t="s">
        <v>392</v>
      </c>
      <c r="O28">
        <f t="shared" si="1"/>
        <v>28.4</v>
      </c>
    </row>
    <row r="29" spans="1:15" x14ac:dyDescent="0.3">
      <c r="A29" t="s">
        <v>19</v>
      </c>
      <c r="B29" t="s">
        <v>670</v>
      </c>
      <c r="C29">
        <v>204.8</v>
      </c>
      <c r="D29">
        <v>4</v>
      </c>
      <c r="G29" t="s">
        <v>19</v>
      </c>
      <c r="H29" t="s">
        <v>670</v>
      </c>
      <c r="I29">
        <f t="shared" si="0"/>
        <v>4</v>
      </c>
      <c r="M29" t="s">
        <v>19</v>
      </c>
      <c r="N29" t="s">
        <v>670</v>
      </c>
      <c r="O29">
        <f t="shared" si="1"/>
        <v>204.8</v>
      </c>
    </row>
    <row r="30" spans="1:15" x14ac:dyDescent="0.3">
      <c r="A30" t="s">
        <v>19</v>
      </c>
      <c r="B30" t="s">
        <v>802</v>
      </c>
      <c r="C30">
        <v>1607.8999999999999</v>
      </c>
      <c r="D30">
        <v>31</v>
      </c>
      <c r="G30" t="s">
        <v>19</v>
      </c>
      <c r="H30" t="s">
        <v>802</v>
      </c>
      <c r="I30">
        <f t="shared" si="0"/>
        <v>31</v>
      </c>
      <c r="M30" t="s">
        <v>19</v>
      </c>
      <c r="N30" t="s">
        <v>802</v>
      </c>
      <c r="O30">
        <f t="shared" si="1"/>
        <v>1607.8999999999999</v>
      </c>
    </row>
    <row r="31" spans="1:15" x14ac:dyDescent="0.3">
      <c r="A31" t="s">
        <v>19</v>
      </c>
      <c r="B31" t="s">
        <v>98</v>
      </c>
      <c r="C31">
        <v>6444.9</v>
      </c>
      <c r="D31">
        <v>88</v>
      </c>
      <c r="G31" t="s">
        <v>19</v>
      </c>
      <c r="H31" t="s">
        <v>98</v>
      </c>
      <c r="I31">
        <f t="shared" si="0"/>
        <v>88</v>
      </c>
      <c r="M31" t="s">
        <v>19</v>
      </c>
      <c r="N31" t="s">
        <v>98</v>
      </c>
      <c r="O31">
        <f t="shared" si="1"/>
        <v>6444.9</v>
      </c>
    </row>
    <row r="32" spans="1:15" x14ac:dyDescent="0.3">
      <c r="A32" t="s">
        <v>19</v>
      </c>
      <c r="B32" t="s">
        <v>49</v>
      </c>
      <c r="C32">
        <v>1809.3</v>
      </c>
      <c r="D32">
        <v>25</v>
      </c>
      <c r="G32" t="s">
        <v>19</v>
      </c>
      <c r="H32" t="s">
        <v>49</v>
      </c>
      <c r="I32">
        <f t="shared" si="0"/>
        <v>25</v>
      </c>
      <c r="M32" t="s">
        <v>19</v>
      </c>
      <c r="N32" t="s">
        <v>49</v>
      </c>
      <c r="O32">
        <f t="shared" si="1"/>
        <v>1809.3</v>
      </c>
    </row>
    <row r="33" spans="1:15" x14ac:dyDescent="0.3">
      <c r="A33" t="s">
        <v>19</v>
      </c>
      <c r="B33" t="s">
        <v>188</v>
      </c>
      <c r="C33">
        <v>9680.399999999996</v>
      </c>
      <c r="D33">
        <v>178</v>
      </c>
      <c r="G33" t="s">
        <v>19</v>
      </c>
      <c r="H33" t="s">
        <v>188</v>
      </c>
      <c r="I33">
        <f t="shared" si="0"/>
        <v>178</v>
      </c>
      <c r="M33" t="s">
        <v>19</v>
      </c>
      <c r="N33" t="s">
        <v>188</v>
      </c>
      <c r="O33">
        <f t="shared" si="1"/>
        <v>9680.399999999996</v>
      </c>
    </row>
    <row r="34" spans="1:15" x14ac:dyDescent="0.3">
      <c r="A34" t="s">
        <v>19</v>
      </c>
      <c r="B34" t="s">
        <v>52</v>
      </c>
      <c r="C34">
        <v>9414.7999999999993</v>
      </c>
      <c r="D34">
        <v>141</v>
      </c>
      <c r="G34" t="s">
        <v>19</v>
      </c>
      <c r="H34" t="s">
        <v>52</v>
      </c>
      <c r="I34">
        <f t="shared" si="0"/>
        <v>141</v>
      </c>
      <c r="M34" t="s">
        <v>19</v>
      </c>
      <c r="N34" t="s">
        <v>52</v>
      </c>
      <c r="O34">
        <f t="shared" si="1"/>
        <v>9414.7999999999993</v>
      </c>
    </row>
    <row r="35" spans="1:15" x14ac:dyDescent="0.3">
      <c r="A35" t="s">
        <v>19</v>
      </c>
      <c r="B35" t="s">
        <v>338</v>
      </c>
      <c r="C35">
        <v>206.1</v>
      </c>
      <c r="D35">
        <v>6</v>
      </c>
      <c r="G35" t="s">
        <v>19</v>
      </c>
      <c r="H35" t="s">
        <v>338</v>
      </c>
      <c r="I35">
        <f t="shared" si="0"/>
        <v>6</v>
      </c>
      <c r="M35" t="s">
        <v>19</v>
      </c>
      <c r="N35" t="s">
        <v>338</v>
      </c>
      <c r="O35">
        <f t="shared" si="1"/>
        <v>206.1</v>
      </c>
    </row>
    <row r="36" spans="1:15" x14ac:dyDescent="0.3">
      <c r="A36" t="s">
        <v>19</v>
      </c>
      <c r="B36" t="s">
        <v>158</v>
      </c>
      <c r="C36">
        <v>7691.3</v>
      </c>
      <c r="D36">
        <v>178</v>
      </c>
      <c r="G36" t="s">
        <v>19</v>
      </c>
      <c r="H36" t="s">
        <v>158</v>
      </c>
      <c r="I36">
        <f t="shared" si="0"/>
        <v>178</v>
      </c>
      <c r="M36" t="s">
        <v>19</v>
      </c>
      <c r="N36" t="s">
        <v>158</v>
      </c>
      <c r="O36">
        <f t="shared" si="1"/>
        <v>7691.3</v>
      </c>
    </row>
    <row r="37" spans="1:15" x14ac:dyDescent="0.3">
      <c r="A37" t="s">
        <v>19</v>
      </c>
      <c r="B37" t="s">
        <v>55</v>
      </c>
      <c r="C37">
        <v>37784.900000000016</v>
      </c>
      <c r="D37">
        <v>699</v>
      </c>
      <c r="G37" t="s">
        <v>19</v>
      </c>
      <c r="H37" t="s">
        <v>55</v>
      </c>
      <c r="I37">
        <f t="shared" si="0"/>
        <v>699</v>
      </c>
      <c r="M37" t="s">
        <v>19</v>
      </c>
      <c r="N37" t="s">
        <v>55</v>
      </c>
      <c r="O37">
        <f t="shared" si="1"/>
        <v>37784.900000000016</v>
      </c>
    </row>
    <row r="38" spans="1:15" x14ac:dyDescent="0.3">
      <c r="A38" t="s">
        <v>19</v>
      </c>
      <c r="B38" t="s">
        <v>342</v>
      </c>
      <c r="C38">
        <v>1129.7</v>
      </c>
      <c r="D38">
        <v>23</v>
      </c>
      <c r="G38" t="s">
        <v>19</v>
      </c>
      <c r="H38" t="s">
        <v>342</v>
      </c>
      <c r="I38">
        <f t="shared" si="0"/>
        <v>23</v>
      </c>
      <c r="M38" t="s">
        <v>19</v>
      </c>
      <c r="N38" t="s">
        <v>342</v>
      </c>
      <c r="O38">
        <f t="shared" si="1"/>
        <v>1129.7</v>
      </c>
    </row>
    <row r="39" spans="1:15" x14ac:dyDescent="0.3">
      <c r="A39" t="s">
        <v>19</v>
      </c>
      <c r="B39" t="s">
        <v>59</v>
      </c>
      <c r="C39">
        <v>20988.9</v>
      </c>
      <c r="D39">
        <v>356</v>
      </c>
      <c r="G39" t="s">
        <v>19</v>
      </c>
      <c r="H39" t="s">
        <v>59</v>
      </c>
      <c r="I39">
        <f t="shared" si="0"/>
        <v>356</v>
      </c>
      <c r="M39" t="s">
        <v>19</v>
      </c>
      <c r="N39" t="s">
        <v>59</v>
      </c>
      <c r="O39">
        <f t="shared" si="1"/>
        <v>20988.9</v>
      </c>
    </row>
    <row r="40" spans="1:15" x14ac:dyDescent="0.3">
      <c r="A40" t="s">
        <v>19</v>
      </c>
      <c r="B40" t="s">
        <v>62</v>
      </c>
      <c r="C40">
        <v>98367.099999999977</v>
      </c>
      <c r="D40">
        <v>1768</v>
      </c>
      <c r="G40" t="s">
        <v>19</v>
      </c>
      <c r="H40" t="s">
        <v>62</v>
      </c>
      <c r="I40">
        <f t="shared" si="0"/>
        <v>1768</v>
      </c>
      <c r="M40" t="s">
        <v>19</v>
      </c>
      <c r="N40" t="s">
        <v>62</v>
      </c>
      <c r="O40">
        <f t="shared" si="1"/>
        <v>98367.099999999977</v>
      </c>
    </row>
    <row r="41" spans="1:15" x14ac:dyDescent="0.3">
      <c r="A41" t="s">
        <v>19</v>
      </c>
      <c r="B41" t="s">
        <v>103</v>
      </c>
      <c r="C41">
        <v>21911.9</v>
      </c>
      <c r="D41">
        <v>307</v>
      </c>
      <c r="G41" t="s">
        <v>19</v>
      </c>
      <c r="H41" t="s">
        <v>103</v>
      </c>
      <c r="I41">
        <f t="shared" si="0"/>
        <v>307</v>
      </c>
      <c r="M41" t="s">
        <v>19</v>
      </c>
      <c r="N41" t="s">
        <v>103</v>
      </c>
      <c r="O41">
        <f t="shared" si="1"/>
        <v>21911.9</v>
      </c>
    </row>
    <row r="42" spans="1:15" x14ac:dyDescent="0.3">
      <c r="A42" t="s">
        <v>19</v>
      </c>
      <c r="B42" t="s">
        <v>201</v>
      </c>
      <c r="C42">
        <v>5441.2</v>
      </c>
      <c r="D42">
        <v>117</v>
      </c>
      <c r="G42" t="s">
        <v>19</v>
      </c>
      <c r="H42" t="s">
        <v>201</v>
      </c>
      <c r="I42">
        <f t="shared" si="0"/>
        <v>117</v>
      </c>
      <c r="M42" t="s">
        <v>19</v>
      </c>
      <c r="N42" t="s">
        <v>201</v>
      </c>
      <c r="O42">
        <f t="shared" si="1"/>
        <v>5441.2</v>
      </c>
    </row>
    <row r="43" spans="1:15" x14ac:dyDescent="0.3">
      <c r="A43" t="s">
        <v>19</v>
      </c>
      <c r="B43" t="s">
        <v>429</v>
      </c>
      <c r="C43">
        <v>392.8</v>
      </c>
      <c r="D43">
        <v>13</v>
      </c>
      <c r="G43" t="s">
        <v>19</v>
      </c>
      <c r="H43" t="s">
        <v>429</v>
      </c>
      <c r="I43">
        <f t="shared" si="0"/>
        <v>13</v>
      </c>
      <c r="M43" t="s">
        <v>19</v>
      </c>
      <c r="N43" t="s">
        <v>429</v>
      </c>
      <c r="O43">
        <f t="shared" si="1"/>
        <v>392.8</v>
      </c>
    </row>
    <row r="44" spans="1:15" x14ac:dyDescent="0.3">
      <c r="A44" t="s">
        <v>19</v>
      </c>
      <c r="B44" t="s">
        <v>72</v>
      </c>
      <c r="C44">
        <v>16172.000000000005</v>
      </c>
      <c r="D44">
        <v>364</v>
      </c>
      <c r="G44" t="s">
        <v>19</v>
      </c>
      <c r="H44" t="s">
        <v>72</v>
      </c>
      <c r="I44">
        <f t="shared" si="0"/>
        <v>364</v>
      </c>
      <c r="M44" t="s">
        <v>19</v>
      </c>
      <c r="N44" t="s">
        <v>72</v>
      </c>
      <c r="O44">
        <f t="shared" si="1"/>
        <v>16172.000000000005</v>
      </c>
    </row>
    <row r="45" spans="1:15" x14ac:dyDescent="0.3">
      <c r="A45" t="s">
        <v>19</v>
      </c>
      <c r="B45" t="s">
        <v>74</v>
      </c>
      <c r="C45">
        <v>4334.9999999999991</v>
      </c>
      <c r="D45">
        <v>95</v>
      </c>
      <c r="G45" t="s">
        <v>19</v>
      </c>
      <c r="H45" t="s">
        <v>74</v>
      </c>
      <c r="I45">
        <f t="shared" si="0"/>
        <v>95</v>
      </c>
      <c r="M45" t="s">
        <v>19</v>
      </c>
      <c r="N45" t="s">
        <v>74</v>
      </c>
      <c r="O45">
        <f t="shared" si="1"/>
        <v>4334.9999999999991</v>
      </c>
    </row>
    <row r="46" spans="1:15" x14ac:dyDescent="0.3">
      <c r="A46" t="s">
        <v>19</v>
      </c>
      <c r="B46" t="s">
        <v>77</v>
      </c>
      <c r="C46">
        <v>37449.000000000007</v>
      </c>
      <c r="D46">
        <v>737</v>
      </c>
      <c r="G46" t="s">
        <v>19</v>
      </c>
      <c r="H46" t="s">
        <v>77</v>
      </c>
      <c r="I46">
        <f t="shared" si="0"/>
        <v>737</v>
      </c>
      <c r="M46" t="s">
        <v>19</v>
      </c>
      <c r="N46" t="s">
        <v>77</v>
      </c>
      <c r="O46">
        <f t="shared" si="1"/>
        <v>37449.000000000007</v>
      </c>
    </row>
    <row r="47" spans="1:15" x14ac:dyDescent="0.3">
      <c r="A47" t="s">
        <v>19</v>
      </c>
      <c r="B47" t="s">
        <v>309</v>
      </c>
      <c r="C47">
        <v>2447.5</v>
      </c>
      <c r="D47">
        <v>39</v>
      </c>
      <c r="G47" t="s">
        <v>19</v>
      </c>
      <c r="H47" t="s">
        <v>309</v>
      </c>
      <c r="I47">
        <f t="shared" si="0"/>
        <v>39</v>
      </c>
      <c r="M47" t="s">
        <v>19</v>
      </c>
      <c r="N47" t="s">
        <v>309</v>
      </c>
      <c r="O47">
        <f t="shared" si="1"/>
        <v>2447.5</v>
      </c>
    </row>
    <row r="48" spans="1:15" x14ac:dyDescent="0.3">
      <c r="A48" t="s">
        <v>19</v>
      </c>
      <c r="B48" t="s">
        <v>1116</v>
      </c>
      <c r="C48">
        <v>3391.1</v>
      </c>
      <c r="D48">
        <v>56</v>
      </c>
      <c r="G48" t="s">
        <v>19</v>
      </c>
      <c r="H48" t="s">
        <v>1116</v>
      </c>
      <c r="I48">
        <f t="shared" si="0"/>
        <v>56</v>
      </c>
      <c r="M48" t="s">
        <v>19</v>
      </c>
      <c r="N48" t="s">
        <v>1116</v>
      </c>
      <c r="O48">
        <f t="shared" si="1"/>
        <v>3391.1</v>
      </c>
    </row>
    <row r="49" spans="1:15" x14ac:dyDescent="0.3">
      <c r="A49" t="s">
        <v>19</v>
      </c>
      <c r="B49" t="s">
        <v>700</v>
      </c>
      <c r="C49">
        <v>30.8</v>
      </c>
      <c r="D49">
        <v>2</v>
      </c>
      <c r="G49" t="s">
        <v>19</v>
      </c>
      <c r="H49" t="s">
        <v>700</v>
      </c>
      <c r="I49">
        <f t="shared" si="0"/>
        <v>2</v>
      </c>
      <c r="M49" t="s">
        <v>19</v>
      </c>
      <c r="N49" t="s">
        <v>700</v>
      </c>
      <c r="O49">
        <f t="shared" si="1"/>
        <v>30.8</v>
      </c>
    </row>
    <row r="50" spans="1:15" x14ac:dyDescent="0.3">
      <c r="A50" t="s">
        <v>19</v>
      </c>
      <c r="B50" t="s">
        <v>268</v>
      </c>
      <c r="C50">
        <v>332.3</v>
      </c>
      <c r="D50">
        <v>8</v>
      </c>
      <c r="G50" t="s">
        <v>19</v>
      </c>
      <c r="H50" t="s">
        <v>268</v>
      </c>
      <c r="I50">
        <f t="shared" si="0"/>
        <v>8</v>
      </c>
      <c r="M50" t="s">
        <v>19</v>
      </c>
      <c r="N50" t="s">
        <v>268</v>
      </c>
      <c r="O50">
        <f t="shared" si="1"/>
        <v>332.3</v>
      </c>
    </row>
    <row r="51" spans="1:15" x14ac:dyDescent="0.3">
      <c r="A51" t="s">
        <v>19</v>
      </c>
      <c r="B51" t="s">
        <v>377</v>
      </c>
      <c r="C51">
        <v>3175.9999999999995</v>
      </c>
      <c r="D51">
        <v>52</v>
      </c>
      <c r="G51" t="s">
        <v>19</v>
      </c>
      <c r="H51" t="s">
        <v>377</v>
      </c>
      <c r="I51">
        <f t="shared" si="0"/>
        <v>52</v>
      </c>
      <c r="M51" t="s">
        <v>19</v>
      </c>
      <c r="N51" t="s">
        <v>377</v>
      </c>
      <c r="O51">
        <f t="shared" si="1"/>
        <v>3175.9999999999995</v>
      </c>
    </row>
    <row r="52" spans="1:15" x14ac:dyDescent="0.3">
      <c r="A52" t="s">
        <v>19</v>
      </c>
      <c r="B52" t="s">
        <v>108</v>
      </c>
      <c r="C52">
        <v>20939.600000000002</v>
      </c>
      <c r="D52">
        <v>295</v>
      </c>
      <c r="G52" t="s">
        <v>19</v>
      </c>
      <c r="H52" t="s">
        <v>108</v>
      </c>
      <c r="I52">
        <f t="shared" si="0"/>
        <v>295</v>
      </c>
      <c r="M52" t="s">
        <v>19</v>
      </c>
      <c r="N52" t="s">
        <v>108</v>
      </c>
      <c r="O52">
        <f t="shared" si="1"/>
        <v>20939.600000000002</v>
      </c>
    </row>
    <row r="53" spans="1:15" x14ac:dyDescent="0.3">
      <c r="A53" t="s">
        <v>19</v>
      </c>
      <c r="B53" t="s">
        <v>110</v>
      </c>
      <c r="C53">
        <v>10185.899999999996</v>
      </c>
      <c r="D53">
        <v>195</v>
      </c>
      <c r="G53" t="s">
        <v>19</v>
      </c>
      <c r="H53" t="s">
        <v>110</v>
      </c>
      <c r="I53">
        <f t="shared" si="0"/>
        <v>195</v>
      </c>
      <c r="M53" t="s">
        <v>19</v>
      </c>
      <c r="N53" t="s">
        <v>110</v>
      </c>
      <c r="O53">
        <f t="shared" si="1"/>
        <v>10185.899999999996</v>
      </c>
    </row>
    <row r="54" spans="1:15" x14ac:dyDescent="0.3">
      <c r="A54" t="s">
        <v>19</v>
      </c>
      <c r="B54" t="s">
        <v>292</v>
      </c>
      <c r="C54">
        <v>958.7</v>
      </c>
      <c r="D54">
        <v>20</v>
      </c>
      <c r="G54" t="s">
        <v>19</v>
      </c>
      <c r="H54" t="s">
        <v>292</v>
      </c>
      <c r="I54">
        <f t="shared" si="0"/>
        <v>20</v>
      </c>
      <c r="M54" t="s">
        <v>19</v>
      </c>
      <c r="N54" t="s">
        <v>292</v>
      </c>
      <c r="O54">
        <f t="shared" si="1"/>
        <v>958.7</v>
      </c>
    </row>
    <row r="55" spans="1:15" x14ac:dyDescent="0.3">
      <c r="A55" t="s">
        <v>19</v>
      </c>
      <c r="B55" t="s">
        <v>79</v>
      </c>
      <c r="C55">
        <v>323</v>
      </c>
      <c r="D55">
        <v>6</v>
      </c>
      <c r="G55" t="s">
        <v>19</v>
      </c>
      <c r="H55" t="s">
        <v>79</v>
      </c>
      <c r="I55">
        <f t="shared" si="0"/>
        <v>6</v>
      </c>
      <c r="M55" t="s">
        <v>19</v>
      </c>
      <c r="N55" t="s">
        <v>79</v>
      </c>
      <c r="O55">
        <f t="shared" si="1"/>
        <v>323</v>
      </c>
    </row>
    <row r="56" spans="1:15" x14ac:dyDescent="0.3">
      <c r="A56" t="s">
        <v>19</v>
      </c>
      <c r="B56" t="s">
        <v>608</v>
      </c>
      <c r="C56">
        <v>167.70000000000002</v>
      </c>
      <c r="D56">
        <v>5</v>
      </c>
      <c r="G56" t="s">
        <v>19</v>
      </c>
      <c r="H56" t="s">
        <v>608</v>
      </c>
      <c r="I56">
        <f t="shared" si="0"/>
        <v>5</v>
      </c>
      <c r="M56" t="s">
        <v>19</v>
      </c>
      <c r="N56" t="s">
        <v>608</v>
      </c>
      <c r="O56">
        <f t="shared" si="1"/>
        <v>167.70000000000002</v>
      </c>
    </row>
    <row r="57" spans="1:15" x14ac:dyDescent="0.3">
      <c r="A57" t="s">
        <v>19</v>
      </c>
      <c r="B57" t="s">
        <v>113</v>
      </c>
      <c r="C57">
        <v>3978.5</v>
      </c>
      <c r="D57">
        <v>94</v>
      </c>
      <c r="G57" t="s">
        <v>19</v>
      </c>
      <c r="H57" t="s">
        <v>113</v>
      </c>
      <c r="I57">
        <f t="shared" si="0"/>
        <v>94</v>
      </c>
      <c r="M57" t="s">
        <v>19</v>
      </c>
      <c r="N57" t="s">
        <v>113</v>
      </c>
      <c r="O57">
        <f t="shared" si="1"/>
        <v>3978.5</v>
      </c>
    </row>
    <row r="58" spans="1:15" x14ac:dyDescent="0.3">
      <c r="A58" t="s">
        <v>19</v>
      </c>
      <c r="B58" t="s">
        <v>997</v>
      </c>
      <c r="C58">
        <v>1405</v>
      </c>
      <c r="D58">
        <v>28</v>
      </c>
      <c r="G58" t="s">
        <v>19</v>
      </c>
      <c r="H58" t="s">
        <v>997</v>
      </c>
      <c r="I58">
        <f t="shared" si="0"/>
        <v>28</v>
      </c>
      <c r="M58" t="s">
        <v>19</v>
      </c>
      <c r="N58" t="s">
        <v>997</v>
      </c>
      <c r="O58">
        <f t="shared" si="1"/>
        <v>1405</v>
      </c>
    </row>
    <row r="59" spans="1:15" x14ac:dyDescent="0.3">
      <c r="A59" t="s">
        <v>19</v>
      </c>
      <c r="B59" t="s">
        <v>82</v>
      </c>
      <c r="C59">
        <v>9869.0999999999985</v>
      </c>
      <c r="D59">
        <v>179</v>
      </c>
      <c r="G59" t="s">
        <v>19</v>
      </c>
      <c r="H59" t="s">
        <v>82</v>
      </c>
      <c r="I59">
        <f t="shared" si="0"/>
        <v>179</v>
      </c>
      <c r="M59" t="s">
        <v>19</v>
      </c>
      <c r="N59" t="s">
        <v>82</v>
      </c>
      <c r="O59">
        <f t="shared" si="1"/>
        <v>9869.0999999999985</v>
      </c>
    </row>
    <row r="60" spans="1:15" x14ac:dyDescent="0.3">
      <c r="A60" t="s">
        <v>19</v>
      </c>
      <c r="B60" t="s">
        <v>243</v>
      </c>
      <c r="C60">
        <v>615.29999999999995</v>
      </c>
      <c r="D60">
        <v>15</v>
      </c>
      <c r="G60" t="s">
        <v>19</v>
      </c>
      <c r="H60" t="s">
        <v>243</v>
      </c>
      <c r="I60">
        <f t="shared" si="0"/>
        <v>15</v>
      </c>
      <c r="M60" t="s">
        <v>19</v>
      </c>
      <c r="N60" t="s">
        <v>243</v>
      </c>
      <c r="O60">
        <f t="shared" si="1"/>
        <v>615.29999999999995</v>
      </c>
    </row>
    <row r="61" spans="1:15" x14ac:dyDescent="0.3">
      <c r="A61" t="s">
        <v>19</v>
      </c>
      <c r="B61" t="s">
        <v>1911</v>
      </c>
      <c r="C61">
        <v>285</v>
      </c>
      <c r="D61">
        <v>3</v>
      </c>
      <c r="G61" t="s">
        <v>19</v>
      </c>
      <c r="H61" t="s">
        <v>1911</v>
      </c>
      <c r="I61">
        <f t="shared" si="0"/>
        <v>3</v>
      </c>
      <c r="M61" t="s">
        <v>19</v>
      </c>
      <c r="N61" t="s">
        <v>1911</v>
      </c>
      <c r="O61">
        <f t="shared" si="1"/>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sqref="A1:O240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B5" sqref="B5:D11"/>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1" sqref="B11"/>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zoomScale="46" workbookViewId="0">
      <selection activeCell="AE6" sqref="AE6"/>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Pivots</vt:lpstr>
      <vt:lpstr>Dashboard.1</vt:lpstr>
      <vt:lpstr>Sheet1</vt:lpstr>
      <vt:lpstr>Sheet2</vt:lpstr>
      <vt:lpstr>Maps</vt:lpstr>
      <vt:lpstr>Data</vt:lpstr>
      <vt:lpstr>Logo &amp; Colors</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SUSHIL SHARMA</cp:lastModifiedBy>
  <dcterms:created xsi:type="dcterms:W3CDTF">2025-06-13T02:42:26Z</dcterms:created>
  <dcterms:modified xsi:type="dcterms:W3CDTF">2026-05-01T10:38:24Z</dcterms:modified>
</cp:coreProperties>
</file>